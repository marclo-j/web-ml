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Datos" sheetId="2" state="visible" r:id="rId2"/>
    <sheet name="Conversión" sheetId="3" state="visible" r:id="rId3"/>
  </sheets>
  <definedNames>
    <definedName name="_xlnm._FilterDatabase" localSheetId="1" hidden="1">'Datos'!$A$9:$W$159</definedName>
    <definedName name="_xlnm.Print_Titles" localSheetId="1">'Datos'!$9:$9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1F4E78"/>
    </font>
    <font>
      <b val="1"/>
    </font>
    <font>
      <b val="1"/>
      <color rgb="00FFFFFF"/>
    </font>
    <font>
      <b val="1"/>
      <color rgb="001F4E78"/>
    </font>
    <font>
      <i val="1"/>
      <sz val="9"/>
    </font>
    <font>
      <i val="1"/>
      <color rgb="00C00000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59595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0" fillId="2" borderId="1" applyProtection="1" pivotButton="0" quotePrefix="0" xfId="0">
      <protection locked="0" hidden="0"/>
    </xf>
    <xf numFmtId="164" fontId="0" fillId="2" borderId="1" applyProtection="1" pivotButton="0" quotePrefix="0" xfId="0">
      <protection locked="0" hidden="0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  <bgColor rgb="00FFE699"/>
        </patternFill>
      </fill>
    </dxf>
    <dxf>
      <fill>
        <patternFill patternType="solid">
          <fgColor rgb="00F4B6B6"/>
          <b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2" customWidth="1" min="3" max="3"/>
    <col width="36" customWidth="1" min="4" max="4"/>
  </cols>
  <sheetData>
    <row r="1">
      <c r="A1" s="1" t="inlineStr">
        <is>
          <t>Ficha 1 — Rendimiento académico</t>
        </is>
      </c>
    </row>
    <row r="3" ht="15" customHeight="1">
      <c r="A3" s="2" t="inlineStr">
        <is>
          <t>Dimensión</t>
        </is>
      </c>
      <c r="B3" s="3" t="inlineStr">
        <is>
          <t>Rendimiento académico</t>
        </is>
      </c>
    </row>
    <row r="4" ht="15" customHeight="1">
      <c r="A4" s="2" t="inlineStr">
        <is>
          <t>Indicador</t>
        </is>
      </c>
      <c r="B4" s="3" t="inlineStr">
        <is>
          <t>Promedio de calificaciones</t>
        </is>
      </c>
    </row>
    <row r="5" ht="15" customHeight="1">
      <c r="A5" s="2" t="inlineStr">
        <is>
          <t>Fórmula (tesis)</t>
        </is>
      </c>
      <c r="B5" s="3" t="inlineStr">
        <is>
          <t>Promedio = Σ Notas / n  ·  Albonny y Duru [1]</t>
        </is>
      </c>
    </row>
    <row r="6" ht="30" customHeight="1">
      <c r="A6" s="2" t="inlineStr">
        <is>
          <t>Periodo de corte</t>
        </is>
      </c>
      <c r="B6" s="3" t="inlineStr">
        <is>
          <t>Datos acumulados hasta el cierre del I bimestre. El mismo corte se usa para el PRE 2026 y para el histórico 2024–2025, para que el modelo no aprenda de la ausencia de quien ya desertó.</t>
        </is>
      </c>
    </row>
    <row r="7" ht="30" customHeight="1">
      <c r="A7" s="2" t="inlineStr">
        <is>
          <t>Privacidad</t>
        </is>
      </c>
      <c r="B7" s="3" t="inlineStr">
        <is>
          <t>Solo códigos EST-###; ningún nombre ni DNI (Ley N.° 29733). La tabla código ↔ nombre la conserva la IE, fuera del sistema. La ficha llena se guarda en data/raw/ y no se sube al repositorio.</t>
        </is>
      </c>
    </row>
    <row r="8" ht="30" customHeight="1">
      <c r="A8" s="2" t="inlineStr">
        <is>
          <t>Exclusión</t>
        </is>
      </c>
      <c r="B8" s="3" t="inlineStr">
        <is>
          <t>Si falta alguna de las 3 dimensiones o hubo traslado definitivo antes del cierre, marque excluido = sí y el motivo. No borre la fila: los excluidos se reportan en Resultados.</t>
        </is>
      </c>
    </row>
    <row r="9" ht="15" customHeight="1">
      <c r="A9" s="2" t="inlineStr">
        <is>
          <t>Colores</t>
        </is>
      </c>
      <c r="B9" s="3" t="inlineStr">
        <is>
          <t>Gris: calculada, no editar. Ámbar: falta un dato obligatorio. Rojo: valor inconsistente.</t>
        </is>
      </c>
    </row>
    <row r="10" ht="30" customHeight="1">
      <c r="A10" s="2" t="inlineStr">
        <is>
          <t>Nota</t>
        </is>
      </c>
      <c r="B10" s="3" t="inlineStr">
        <is>
          <t>Registre la calificación de cada área al cierre del periodo de corte. Deje vacía el área que no aplique (ej. exoneración); n cuenta solo las notas registradas.</t>
        </is>
      </c>
    </row>
    <row r="11" ht="30" customHeight="1">
      <c r="A11" s="2" t="inlineStr">
        <is>
          <t>Nota</t>
        </is>
      </c>
      <c r="B11" s="3" t="inlineStr">
        <is>
          <t>Elija la escala en la celda B7. Con escala literal, AD/A/B/C se convierten según la hoja Conversión (provisional, decisión D1).</t>
        </is>
      </c>
    </row>
    <row r="12" ht="15" customHeight="1">
      <c r="A12" s="2" t="inlineStr">
        <is>
          <t>Nota</t>
        </is>
      </c>
      <c r="B12" s="3" t="inlineStr">
        <is>
          <t>Una nota no válida para la escala elegida se marca en rojo y no se cuenta en el promedio.</t>
        </is>
      </c>
    </row>
    <row r="14">
      <c r="A14" s="4" t="inlineStr">
        <is>
          <t>Diccionario de columnas (hoja Datos)</t>
        </is>
      </c>
    </row>
    <row r="15">
      <c r="A15" s="5" t="inlineStr">
        <is>
          <t>Columna</t>
        </is>
      </c>
      <c r="B15" s="5" t="inlineStr">
        <is>
          <t>Descripción</t>
        </is>
      </c>
      <c r="C15" s="5" t="inlineStr">
        <is>
          <t>Tipo</t>
        </is>
      </c>
      <c r="D15" s="5" t="inlineStr">
        <is>
          <t>Regla</t>
        </is>
      </c>
    </row>
    <row r="16">
      <c r="A16" s="6" t="inlineStr">
        <is>
          <t>codigo</t>
        </is>
      </c>
      <c r="B16" s="6" t="inlineStr">
        <is>
          <t>Código anonimizado del estudiante. Sin nombres ni DNI.</t>
        </is>
      </c>
      <c r="C16" s="6" t="inlineStr">
        <is>
          <t>captura *</t>
        </is>
      </c>
      <c r="D16" s="6" t="inlineStr">
        <is>
          <t>Formato EST-### (ej. EST-001)</t>
        </is>
      </c>
    </row>
    <row r="17">
      <c r="A17" s="6" t="inlineStr">
        <is>
          <t>grado</t>
        </is>
      </c>
      <c r="B17" s="6" t="inlineStr">
        <is>
          <t>Grado de secundaria.</t>
        </is>
      </c>
      <c r="C17" s="6" t="inlineStr">
        <is>
          <t>captura *</t>
        </is>
      </c>
      <c r="D17" s="6" t="inlineStr">
        <is>
          <t>3 o 4</t>
        </is>
      </c>
    </row>
    <row r="18">
      <c r="A18" s="6" t="inlineStr">
        <is>
          <t>seccion</t>
        </is>
      </c>
      <c r="B18" s="6" t="inlineStr">
        <is>
          <t>Sección (ej. A).</t>
        </is>
      </c>
      <c r="C18" s="6" t="inlineStr">
        <is>
          <t>captura *</t>
        </is>
      </c>
      <c r="D18" s="6" t="inlineStr">
        <is>
          <t>1–2 caracteres</t>
        </is>
      </c>
    </row>
    <row r="19">
      <c r="A19" s="7" t="inlineStr">
        <is>
          <t>grupo</t>
        </is>
      </c>
      <c r="B19" s="7" t="inlineStr">
        <is>
          <t>Grupo del diseño cuasiexperimental: 3.° = control, 4.° = experimental.</t>
        </is>
      </c>
      <c r="C19" s="7" t="inlineStr">
        <is>
          <t>calculada</t>
        </is>
      </c>
      <c r="D19" s="7" t="inlineStr">
        <is>
          <t>Se calcula a partir del grado</t>
        </is>
      </c>
    </row>
    <row r="20">
      <c r="A20" s="6" t="inlineStr">
        <is>
          <t>momento</t>
        </is>
      </c>
      <c r="B20" s="6" t="inlineStr">
        <is>
          <t>Momento de la medición.</t>
        </is>
      </c>
      <c r="C20" s="6" t="inlineStr">
        <is>
          <t>captura *</t>
        </is>
      </c>
      <c r="D20" s="6" t="inlineStr">
        <is>
          <t>pre o post</t>
        </is>
      </c>
    </row>
    <row r="21">
      <c r="A21" s="6" t="inlineStr">
        <is>
          <t>matematica</t>
        </is>
      </c>
      <c r="B21" s="6" t="inlineStr">
        <is>
          <t>Calificación del periodo en Matemática. Vacío si no aplica (ej. exonerado).</t>
        </is>
      </c>
      <c r="C21" s="6" t="inlineStr">
        <is>
          <t>captura</t>
        </is>
      </c>
      <c r="D21" s="6" t="inlineStr">
        <is>
          <t>0–20 (vigesimal) o AD/A/B/C (literal)</t>
        </is>
      </c>
    </row>
    <row r="22">
      <c r="A22" s="6" t="inlineStr">
        <is>
          <t>comunicacion</t>
        </is>
      </c>
      <c r="B22" s="6" t="inlineStr">
        <is>
          <t>Calificación del periodo en Comunicación. Vacío si no aplica (ej. exonerado).</t>
        </is>
      </c>
      <c r="C22" s="6" t="inlineStr">
        <is>
          <t>captura</t>
        </is>
      </c>
      <c r="D22" s="6" t="inlineStr">
        <is>
          <t>0–20 (vigesimal) o AD/A/B/C (literal)</t>
        </is>
      </c>
    </row>
    <row r="23">
      <c r="A23" s="6" t="inlineStr">
        <is>
          <t>ingles</t>
        </is>
      </c>
      <c r="B23" s="6" t="inlineStr">
        <is>
          <t>Calificación del periodo en Inglés como lengua extranjera. Vacío si no aplica (ej. exonerado).</t>
        </is>
      </c>
      <c r="C23" s="6" t="inlineStr">
        <is>
          <t>captura</t>
        </is>
      </c>
      <c r="D23" s="6" t="inlineStr">
        <is>
          <t>0–20 (vigesimal) o AD/A/B/C (literal)</t>
        </is>
      </c>
    </row>
    <row r="24">
      <c r="A24" s="6" t="inlineStr">
        <is>
          <t>arte_cultura</t>
        </is>
      </c>
      <c r="B24" s="6" t="inlineStr">
        <is>
          <t>Calificación del periodo en Arte y Cultura. Vacío si no aplica (ej. exonerado).</t>
        </is>
      </c>
      <c r="C24" s="6" t="inlineStr">
        <is>
          <t>captura</t>
        </is>
      </c>
      <c r="D24" s="6" t="inlineStr">
        <is>
          <t>0–20 (vigesimal) o AD/A/B/C (literal)</t>
        </is>
      </c>
    </row>
    <row r="25">
      <c r="A25" s="6" t="inlineStr">
        <is>
          <t>ciencias_sociales</t>
        </is>
      </c>
      <c r="B25" s="6" t="inlineStr">
        <is>
          <t>Calificación del periodo en Ciencias Sociales. Vacío si no aplica (ej. exonerado).</t>
        </is>
      </c>
      <c r="C25" s="6" t="inlineStr">
        <is>
          <t>captura</t>
        </is>
      </c>
      <c r="D25" s="6" t="inlineStr">
        <is>
          <t>0–20 (vigesimal) o AD/A/B/C (literal)</t>
        </is>
      </c>
    </row>
    <row r="26">
      <c r="A26" s="6" t="inlineStr">
        <is>
          <t>dpcc</t>
        </is>
      </c>
      <c r="B26" s="6" t="inlineStr">
        <is>
          <t>Calificación del periodo en Desarrollo Personal, Ciudadanía y Cívica. Vacío si no aplica (ej. exonerado).</t>
        </is>
      </c>
      <c r="C26" s="6" t="inlineStr">
        <is>
          <t>captura</t>
        </is>
      </c>
      <c r="D26" s="6" t="inlineStr">
        <is>
          <t>0–20 (vigesimal) o AD/A/B/C (literal)</t>
        </is>
      </c>
    </row>
    <row r="27">
      <c r="A27" s="6" t="inlineStr">
        <is>
          <t>educacion_fisica</t>
        </is>
      </c>
      <c r="B27" s="6" t="inlineStr">
        <is>
          <t>Calificación del periodo en Educación Física. Vacío si no aplica (ej. exonerado).</t>
        </is>
      </c>
      <c r="C27" s="6" t="inlineStr">
        <is>
          <t>captura</t>
        </is>
      </c>
      <c r="D27" s="6" t="inlineStr">
        <is>
          <t>0–20 (vigesimal) o AD/A/B/C (literal)</t>
        </is>
      </c>
    </row>
    <row r="28">
      <c r="A28" s="6" t="inlineStr">
        <is>
          <t>educacion_religiosa</t>
        </is>
      </c>
      <c r="B28" s="6" t="inlineStr">
        <is>
          <t>Calificación del periodo en Educación Religiosa. Vacío si no aplica (ej. exonerado).</t>
        </is>
      </c>
      <c r="C28" s="6" t="inlineStr">
        <is>
          <t>captura</t>
        </is>
      </c>
      <c r="D28" s="6" t="inlineStr">
        <is>
          <t>0–20 (vigesimal) o AD/A/B/C (literal)</t>
        </is>
      </c>
    </row>
    <row r="29">
      <c r="A29" s="6" t="inlineStr">
        <is>
          <t>ciencia_tecnologia</t>
        </is>
      </c>
      <c r="B29" s="6" t="inlineStr">
        <is>
          <t>Calificación del periodo en Ciencia y Tecnología. Vacío si no aplica (ej. exonerado).</t>
        </is>
      </c>
      <c r="C29" s="6" t="inlineStr">
        <is>
          <t>captura</t>
        </is>
      </c>
      <c r="D29" s="6" t="inlineStr">
        <is>
          <t>0–20 (vigesimal) o AD/A/B/C (literal)</t>
        </is>
      </c>
    </row>
    <row r="30">
      <c r="A30" s="6" t="inlineStr">
        <is>
          <t>ept</t>
        </is>
      </c>
      <c r="B30" s="6" t="inlineStr">
        <is>
          <t>Calificación del periodo en Educación para el Trabajo. Vacío si no aplica (ej. exonerado).</t>
        </is>
      </c>
      <c r="C30" s="6" t="inlineStr">
        <is>
          <t>captura</t>
        </is>
      </c>
      <c r="D30" s="6" t="inlineStr">
        <is>
          <t>0–20 (vigesimal) o AD/A/B/C (literal)</t>
        </is>
      </c>
    </row>
    <row r="31">
      <c r="A31" s="7" t="inlineStr">
        <is>
          <t>n_notas</t>
        </is>
      </c>
      <c r="B31" s="7" t="inlineStr">
        <is>
          <t>n: cantidad de calificaciones válidas registradas.</t>
        </is>
      </c>
      <c r="C31" s="7" t="inlineStr">
        <is>
          <t>calculada</t>
        </is>
      </c>
      <c r="D31" s="7" t="inlineStr">
        <is>
          <t>Cuenta solo notas válidas</t>
        </is>
      </c>
    </row>
    <row r="32">
      <c r="A32" s="7" t="inlineStr">
        <is>
          <t>suma_notas</t>
        </is>
      </c>
      <c r="B32" s="7" t="inlineStr">
        <is>
          <t>Σ Notas. En escala literal suma los valores de la hoja Conversión.</t>
        </is>
      </c>
      <c r="C32" s="7" t="inlineStr">
        <is>
          <t>calculada</t>
        </is>
      </c>
      <c r="D32" s="7" t="inlineStr">
        <is>
          <t>Σ Notas</t>
        </is>
      </c>
    </row>
    <row r="33">
      <c r="A33" s="7" t="inlineStr">
        <is>
          <t>promedio</t>
        </is>
      </c>
      <c r="B33" s="7" t="inlineStr">
        <is>
          <t>Promedio = Σ Notas / n, redondeado a 2 decimales.</t>
        </is>
      </c>
      <c r="C33" s="7" t="inlineStr">
        <is>
          <t>calculada</t>
        </is>
      </c>
      <c r="D33" s="7" t="inlineStr">
        <is>
          <t>Σ Notas / n</t>
        </is>
      </c>
    </row>
    <row r="34">
      <c r="A34" s="6" t="inlineStr">
        <is>
          <t>anio</t>
        </is>
      </c>
      <c r="B34" s="6" t="inlineStr">
        <is>
          <t>Año lectivo del registro. 2024–2025 = histórico de entrenamiento.</t>
        </is>
      </c>
      <c r="C34" s="6" t="inlineStr">
        <is>
          <t>captura *</t>
        </is>
      </c>
      <c r="D34" s="6" t="inlineStr">
        <is>
          <t>2024, 2025 o 2026</t>
        </is>
      </c>
    </row>
    <row r="35">
      <c r="A35" s="6" t="inlineStr">
        <is>
          <t>deserto</t>
        </is>
      </c>
      <c r="B35" s="6" t="inlineStr">
        <is>
          <t>Solo histórico 2024–2025: 1 si abandonó ese año, 0 si no. Dejar vacío en 2026.</t>
        </is>
      </c>
      <c r="C35" s="6" t="inlineStr">
        <is>
          <t>captura</t>
        </is>
      </c>
      <c r="D35" s="6" t="inlineStr">
        <is>
          <t>0 o 1; vacío en 2026</t>
        </is>
      </c>
    </row>
    <row r="36">
      <c r="A36" s="6" t="inlineStr">
        <is>
          <t>excluido</t>
        </is>
      </c>
      <c r="B36" s="6" t="inlineStr">
        <is>
          <t>Marcar sí si cumple un criterio de exclusión de la tesis.</t>
        </is>
      </c>
      <c r="C36" s="6" t="inlineStr">
        <is>
          <t>captura</t>
        </is>
      </c>
      <c r="D36" s="6" t="inlineStr">
        <is>
          <t>sí o no</t>
        </is>
      </c>
    </row>
    <row r="37">
      <c r="A37" s="6" t="inlineStr">
        <is>
          <t>motivo_exclusion</t>
        </is>
      </c>
      <c r="B37" s="6" t="inlineStr">
        <is>
          <t>Obligatorio si excluido = sí.</t>
        </is>
      </c>
      <c r="C37" s="6" t="inlineStr">
        <is>
          <t>captura</t>
        </is>
      </c>
      <c r="D37" s="6" t="inlineStr">
        <is>
          <t>traslado definitivo / dimensión incompleta / registro inconsistente</t>
        </is>
      </c>
    </row>
    <row r="38">
      <c r="A38" s="6" t="inlineStr">
        <is>
          <t>observaciones</t>
        </is>
      </c>
      <c r="B38" s="6" t="inlineStr">
        <is>
          <t>Texto libre (sin datos personales).</t>
        </is>
      </c>
      <c r="C38" s="6" t="inlineStr">
        <is>
          <t>captura</t>
        </is>
      </c>
      <c r="D38" s="6" t="inlineStr"/>
    </row>
    <row r="39">
      <c r="A39" s="8" t="inlineStr">
        <is>
          <t>* obligatoria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9" customWidth="1" min="3" max="3"/>
    <col width="13" customWidth="1" min="4" max="4"/>
    <col width="10" customWidth="1" min="5" max="5"/>
    <col width="12" customWidth="1" min="6" max="6"/>
    <col width="14" customWidth="1" min="7" max="7"/>
    <col width="11" customWidth="1" min="8" max="8"/>
    <col width="14" customWidth="1" min="9" max="9"/>
    <col width="19" customWidth="1" min="10" max="10"/>
    <col width="11" customWidth="1" min="11" max="11"/>
    <col width="18" customWidth="1" min="12" max="12"/>
    <col width="21" customWidth="1" min="13" max="13"/>
    <col width="20" customWidth="1" min="14" max="14"/>
    <col width="11" customWidth="1" min="15" max="15"/>
    <col width="9" customWidth="1" min="16" max="16"/>
    <col width="12" customWidth="1" min="17" max="17"/>
    <col width="10" customWidth="1" min="18" max="18"/>
    <col width="8" customWidth="1" min="19" max="19"/>
    <col width="9" customWidth="1" min="20" max="20"/>
    <col width="10" customWidth="1" min="21" max="21"/>
    <col width="22" customWidth="1" min="22" max="22"/>
    <col width="30" customWidth="1" min="23" max="23"/>
  </cols>
  <sheetData>
    <row r="1">
      <c r="A1" s="1" t="inlineStr">
        <is>
          <t>Ficha 1 — Rendimiento académico</t>
        </is>
      </c>
      <c r="E1" s="9" t="inlineStr">
        <is>
          <t>Promedio = Σ Notas / n  ·  Albonny y Duru [1]</t>
        </is>
      </c>
    </row>
    <row r="2">
      <c r="A2" s="2" t="inlineStr">
        <is>
          <t>Año lectivo</t>
        </is>
      </c>
      <c r="B2" s="10" t="n"/>
    </row>
    <row r="3">
      <c r="A3" s="2" t="inlineStr">
        <is>
          <t>Periodo de corte</t>
        </is>
      </c>
      <c r="B3" s="10" t="inlineStr">
        <is>
          <t>I bimestre</t>
        </is>
      </c>
    </row>
    <row r="4">
      <c r="A4" s="2" t="inlineStr">
        <is>
          <t>Fecha de inicio del periodo</t>
        </is>
      </c>
      <c r="B4" s="11" t="n"/>
    </row>
    <row r="5">
      <c r="A5" s="2" t="inlineStr">
        <is>
          <t>Fecha de fin del periodo</t>
        </is>
      </c>
      <c r="B5" s="11" t="n"/>
    </row>
    <row r="6">
      <c r="A6" s="2" t="inlineStr">
        <is>
          <t>Responsable del llenado (cargo)</t>
        </is>
      </c>
      <c r="B6" s="10" t="n"/>
    </row>
    <row r="7">
      <c r="A7" s="2" t="inlineStr">
        <is>
          <t>Escala de calificación</t>
        </is>
      </c>
      <c r="B7" s="10" t="inlineStr">
        <is>
          <t>vigesimal</t>
        </is>
      </c>
    </row>
    <row r="9">
      <c r="A9" s="12" t="inlineStr">
        <is>
          <t>codigo</t>
        </is>
      </c>
      <c r="B9" s="12" t="inlineStr">
        <is>
          <t>grado</t>
        </is>
      </c>
      <c r="C9" s="12" t="inlineStr">
        <is>
          <t>seccion</t>
        </is>
      </c>
      <c r="D9" s="13" t="inlineStr">
        <is>
          <t>grupo</t>
        </is>
      </c>
      <c r="E9" s="12" t="inlineStr">
        <is>
          <t>momento</t>
        </is>
      </c>
      <c r="F9" s="12" t="inlineStr">
        <is>
          <t>matematica</t>
        </is>
      </c>
      <c r="G9" s="12" t="inlineStr">
        <is>
          <t>comunicacion</t>
        </is>
      </c>
      <c r="H9" s="12" t="inlineStr">
        <is>
          <t>ingles</t>
        </is>
      </c>
      <c r="I9" s="12" t="inlineStr">
        <is>
          <t>arte_cultura</t>
        </is>
      </c>
      <c r="J9" s="12" t="inlineStr">
        <is>
          <t>ciencias_sociales</t>
        </is>
      </c>
      <c r="K9" s="12" t="inlineStr">
        <is>
          <t>dpcc</t>
        </is>
      </c>
      <c r="L9" s="12" t="inlineStr">
        <is>
          <t>educacion_fisica</t>
        </is>
      </c>
      <c r="M9" s="12" t="inlineStr">
        <is>
          <t>educacion_religiosa</t>
        </is>
      </c>
      <c r="N9" s="12" t="inlineStr">
        <is>
          <t>ciencia_tecnologia</t>
        </is>
      </c>
      <c r="O9" s="12" t="inlineStr">
        <is>
          <t>ept</t>
        </is>
      </c>
      <c r="P9" s="13" t="inlineStr">
        <is>
          <t>n_notas</t>
        </is>
      </c>
      <c r="Q9" s="13" t="inlineStr">
        <is>
          <t>suma_notas</t>
        </is>
      </c>
      <c r="R9" s="13" t="inlineStr">
        <is>
          <t>promedio</t>
        </is>
      </c>
      <c r="S9" s="12" t="inlineStr">
        <is>
          <t>anio</t>
        </is>
      </c>
      <c r="T9" s="12" t="inlineStr">
        <is>
          <t>deserto</t>
        </is>
      </c>
      <c r="U9" s="12" t="inlineStr">
        <is>
          <t>excluido</t>
        </is>
      </c>
      <c r="V9" s="12" t="inlineStr">
        <is>
          <t>motivo_exclusion</t>
        </is>
      </c>
      <c r="W9" s="12" t="inlineStr">
        <is>
          <t>observaciones</t>
        </is>
      </c>
    </row>
    <row r="10">
      <c r="A10" s="14" t="n"/>
      <c r="B10" s="14" t="n"/>
      <c r="C10" s="14" t="n"/>
      <c r="D10" s="15">
        <f>IF(B10=3,"control",IF(B10=4,"experimental",""))</f>
        <v/>
      </c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5">
        <f>IF(IF($B$7="literal",SUMPRODUCT(COUNTIF(F10:O10,'Conversión'!$A$5:$A$8)),COUNTIFS(F10:O10,"&gt;=0",F10:O10,"&lt;=20"))=0,"",IF($B$7="literal",SUMPRODUCT(COUNTIF(F10:O10,'Conversión'!$A$5:$A$8)),COUNTIFS(F10:O10,"&gt;=0",F10:O10,"&lt;=20")))</f>
        <v/>
      </c>
      <c r="Q10" s="15">
        <f>IF(P10="","",IF($B$7="literal",SUMPRODUCT(COUNTIF(F10:O10,'Conversión'!$A$5:$A$8)*'Conversión'!$B$5:$B$8),SUMIFS(F10:O10,F10:O10,"&gt;=0",F10:O10,"&lt;=20")))</f>
        <v/>
      </c>
      <c r="R10" s="15">
        <f>IF(P10="","",ROUND(Q10/P10,2))</f>
        <v/>
      </c>
      <c r="S10" s="14" t="n"/>
      <c r="T10" s="14" t="n"/>
      <c r="U10" s="14" t="n"/>
      <c r="V10" s="14" t="n"/>
      <c r="W10" s="14" t="n"/>
    </row>
    <row r="11">
      <c r="A11" s="14" t="n"/>
      <c r="B11" s="14" t="n"/>
      <c r="C11" s="14" t="n"/>
      <c r="D11" s="15">
        <f>IF(B11=3,"control",IF(B11=4,"experimental",""))</f>
        <v/>
      </c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5">
        <f>IF(IF($B$7="literal",SUMPRODUCT(COUNTIF(F11:O11,'Conversión'!$A$5:$A$8)),COUNTIFS(F11:O11,"&gt;=0",F11:O11,"&lt;=20"))=0,"",IF($B$7="literal",SUMPRODUCT(COUNTIF(F11:O11,'Conversión'!$A$5:$A$8)),COUNTIFS(F11:O11,"&gt;=0",F11:O11,"&lt;=20")))</f>
        <v/>
      </c>
      <c r="Q11" s="15">
        <f>IF(P11="","",IF($B$7="literal",SUMPRODUCT(COUNTIF(F11:O11,'Conversión'!$A$5:$A$8)*'Conversión'!$B$5:$B$8),SUMIFS(F11:O11,F11:O11,"&gt;=0",F11:O11,"&lt;=20")))</f>
        <v/>
      </c>
      <c r="R11" s="15">
        <f>IF(P11="","",ROUND(Q11/P11,2))</f>
        <v/>
      </c>
      <c r="S11" s="14" t="n"/>
      <c r="T11" s="14" t="n"/>
      <c r="U11" s="14" t="n"/>
      <c r="V11" s="14" t="n"/>
      <c r="W11" s="14" t="n"/>
    </row>
    <row r="12">
      <c r="A12" s="14" t="n"/>
      <c r="B12" s="14" t="n"/>
      <c r="C12" s="14" t="n"/>
      <c r="D12" s="15">
        <f>IF(B12=3,"control",IF(B12=4,"experimental",""))</f>
        <v/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5">
        <f>IF(IF($B$7="literal",SUMPRODUCT(COUNTIF(F12:O12,'Conversión'!$A$5:$A$8)),COUNTIFS(F12:O12,"&gt;=0",F12:O12,"&lt;=20"))=0,"",IF($B$7="literal",SUMPRODUCT(COUNTIF(F12:O12,'Conversión'!$A$5:$A$8)),COUNTIFS(F12:O12,"&gt;=0",F12:O12,"&lt;=20")))</f>
        <v/>
      </c>
      <c r="Q12" s="15">
        <f>IF(P12="","",IF($B$7="literal",SUMPRODUCT(COUNTIF(F12:O12,'Conversión'!$A$5:$A$8)*'Conversión'!$B$5:$B$8),SUMIFS(F12:O12,F12:O12,"&gt;=0",F12:O12,"&lt;=20")))</f>
        <v/>
      </c>
      <c r="R12" s="15">
        <f>IF(P12="","",ROUND(Q12/P12,2))</f>
        <v/>
      </c>
      <c r="S12" s="14" t="n"/>
      <c r="T12" s="14" t="n"/>
      <c r="U12" s="14" t="n"/>
      <c r="V12" s="14" t="n"/>
      <c r="W12" s="14" t="n"/>
    </row>
    <row r="13">
      <c r="A13" s="14" t="n"/>
      <c r="B13" s="14" t="n"/>
      <c r="C13" s="14" t="n"/>
      <c r="D13" s="15">
        <f>IF(B13=3,"control",IF(B13=4,"experimental",""))</f>
        <v/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5">
        <f>IF(IF($B$7="literal",SUMPRODUCT(COUNTIF(F13:O13,'Conversión'!$A$5:$A$8)),COUNTIFS(F13:O13,"&gt;=0",F13:O13,"&lt;=20"))=0,"",IF($B$7="literal",SUMPRODUCT(COUNTIF(F13:O13,'Conversión'!$A$5:$A$8)),COUNTIFS(F13:O13,"&gt;=0",F13:O13,"&lt;=20")))</f>
        <v/>
      </c>
      <c r="Q13" s="15">
        <f>IF(P13="","",IF($B$7="literal",SUMPRODUCT(COUNTIF(F13:O13,'Conversión'!$A$5:$A$8)*'Conversión'!$B$5:$B$8),SUMIFS(F13:O13,F13:O13,"&gt;=0",F13:O13,"&lt;=20")))</f>
        <v/>
      </c>
      <c r="R13" s="15">
        <f>IF(P13="","",ROUND(Q13/P13,2))</f>
        <v/>
      </c>
      <c r="S13" s="14" t="n"/>
      <c r="T13" s="14" t="n"/>
      <c r="U13" s="14" t="n"/>
      <c r="V13" s="14" t="n"/>
      <c r="W13" s="14" t="n"/>
    </row>
    <row r="14">
      <c r="A14" s="14" t="n"/>
      <c r="B14" s="14" t="n"/>
      <c r="C14" s="14" t="n"/>
      <c r="D14" s="15">
        <f>IF(B14=3,"control",IF(B14=4,"experimental",""))</f>
        <v/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5">
        <f>IF(IF($B$7="literal",SUMPRODUCT(COUNTIF(F14:O14,'Conversión'!$A$5:$A$8)),COUNTIFS(F14:O14,"&gt;=0",F14:O14,"&lt;=20"))=0,"",IF($B$7="literal",SUMPRODUCT(COUNTIF(F14:O14,'Conversión'!$A$5:$A$8)),COUNTIFS(F14:O14,"&gt;=0",F14:O14,"&lt;=20")))</f>
        <v/>
      </c>
      <c r="Q14" s="15">
        <f>IF(P14="","",IF($B$7="literal",SUMPRODUCT(COUNTIF(F14:O14,'Conversión'!$A$5:$A$8)*'Conversión'!$B$5:$B$8),SUMIFS(F14:O14,F14:O14,"&gt;=0",F14:O14,"&lt;=20")))</f>
        <v/>
      </c>
      <c r="R14" s="15">
        <f>IF(P14="","",ROUND(Q14/P14,2))</f>
        <v/>
      </c>
      <c r="S14" s="14" t="n"/>
      <c r="T14" s="14" t="n"/>
      <c r="U14" s="14" t="n"/>
      <c r="V14" s="14" t="n"/>
      <c r="W14" s="14" t="n"/>
    </row>
    <row r="15">
      <c r="A15" s="14" t="n"/>
      <c r="B15" s="14" t="n"/>
      <c r="C15" s="14" t="n"/>
      <c r="D15" s="15">
        <f>IF(B15=3,"control",IF(B15=4,"experimental",""))</f>
        <v/>
      </c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5">
        <f>IF(IF($B$7="literal",SUMPRODUCT(COUNTIF(F15:O15,'Conversión'!$A$5:$A$8)),COUNTIFS(F15:O15,"&gt;=0",F15:O15,"&lt;=20"))=0,"",IF($B$7="literal",SUMPRODUCT(COUNTIF(F15:O15,'Conversión'!$A$5:$A$8)),COUNTIFS(F15:O15,"&gt;=0",F15:O15,"&lt;=20")))</f>
        <v/>
      </c>
      <c r="Q15" s="15">
        <f>IF(P15="","",IF($B$7="literal",SUMPRODUCT(COUNTIF(F15:O15,'Conversión'!$A$5:$A$8)*'Conversión'!$B$5:$B$8),SUMIFS(F15:O15,F15:O15,"&gt;=0",F15:O15,"&lt;=20")))</f>
        <v/>
      </c>
      <c r="R15" s="15">
        <f>IF(P15="","",ROUND(Q15/P15,2))</f>
        <v/>
      </c>
      <c r="S15" s="14" t="n"/>
      <c r="T15" s="14" t="n"/>
      <c r="U15" s="14" t="n"/>
      <c r="V15" s="14" t="n"/>
      <c r="W15" s="14" t="n"/>
    </row>
    <row r="16">
      <c r="A16" s="14" t="n"/>
      <c r="B16" s="14" t="n"/>
      <c r="C16" s="14" t="n"/>
      <c r="D16" s="15">
        <f>IF(B16=3,"control",IF(B16=4,"experimental",""))</f>
        <v/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5">
        <f>IF(IF($B$7="literal",SUMPRODUCT(COUNTIF(F16:O16,'Conversión'!$A$5:$A$8)),COUNTIFS(F16:O16,"&gt;=0",F16:O16,"&lt;=20"))=0,"",IF($B$7="literal",SUMPRODUCT(COUNTIF(F16:O16,'Conversión'!$A$5:$A$8)),COUNTIFS(F16:O16,"&gt;=0",F16:O16,"&lt;=20")))</f>
        <v/>
      </c>
      <c r="Q16" s="15">
        <f>IF(P16="","",IF($B$7="literal",SUMPRODUCT(COUNTIF(F16:O16,'Conversión'!$A$5:$A$8)*'Conversión'!$B$5:$B$8),SUMIFS(F16:O16,F16:O16,"&gt;=0",F16:O16,"&lt;=20")))</f>
        <v/>
      </c>
      <c r="R16" s="15">
        <f>IF(P16="","",ROUND(Q16/P16,2))</f>
        <v/>
      </c>
      <c r="S16" s="14" t="n"/>
      <c r="T16" s="14" t="n"/>
      <c r="U16" s="14" t="n"/>
      <c r="V16" s="14" t="n"/>
      <c r="W16" s="14" t="n"/>
    </row>
    <row r="17">
      <c r="A17" s="14" t="n"/>
      <c r="B17" s="14" t="n"/>
      <c r="C17" s="14" t="n"/>
      <c r="D17" s="15">
        <f>IF(B17=3,"control",IF(B17=4,"experimental",""))</f>
        <v/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5">
        <f>IF(IF($B$7="literal",SUMPRODUCT(COUNTIF(F17:O17,'Conversión'!$A$5:$A$8)),COUNTIFS(F17:O17,"&gt;=0",F17:O17,"&lt;=20"))=0,"",IF($B$7="literal",SUMPRODUCT(COUNTIF(F17:O17,'Conversión'!$A$5:$A$8)),COUNTIFS(F17:O17,"&gt;=0",F17:O17,"&lt;=20")))</f>
        <v/>
      </c>
      <c r="Q17" s="15">
        <f>IF(P17="","",IF($B$7="literal",SUMPRODUCT(COUNTIF(F17:O17,'Conversión'!$A$5:$A$8)*'Conversión'!$B$5:$B$8),SUMIFS(F17:O17,F17:O17,"&gt;=0",F17:O17,"&lt;=20")))</f>
        <v/>
      </c>
      <c r="R17" s="15">
        <f>IF(P17="","",ROUND(Q17/P17,2))</f>
        <v/>
      </c>
      <c r="S17" s="14" t="n"/>
      <c r="T17" s="14" t="n"/>
      <c r="U17" s="14" t="n"/>
      <c r="V17" s="14" t="n"/>
      <c r="W17" s="14" t="n"/>
    </row>
    <row r="18">
      <c r="A18" s="14" t="n"/>
      <c r="B18" s="14" t="n"/>
      <c r="C18" s="14" t="n"/>
      <c r="D18" s="15">
        <f>IF(B18=3,"control",IF(B18=4,"experimental",""))</f>
        <v/>
      </c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5">
        <f>IF(IF($B$7="literal",SUMPRODUCT(COUNTIF(F18:O18,'Conversión'!$A$5:$A$8)),COUNTIFS(F18:O18,"&gt;=0",F18:O18,"&lt;=20"))=0,"",IF($B$7="literal",SUMPRODUCT(COUNTIF(F18:O18,'Conversión'!$A$5:$A$8)),COUNTIFS(F18:O18,"&gt;=0",F18:O18,"&lt;=20")))</f>
        <v/>
      </c>
      <c r="Q18" s="15">
        <f>IF(P18="","",IF($B$7="literal",SUMPRODUCT(COUNTIF(F18:O18,'Conversión'!$A$5:$A$8)*'Conversión'!$B$5:$B$8),SUMIFS(F18:O18,F18:O18,"&gt;=0",F18:O18,"&lt;=20")))</f>
        <v/>
      </c>
      <c r="R18" s="15">
        <f>IF(P18="","",ROUND(Q18/P18,2))</f>
        <v/>
      </c>
      <c r="S18" s="14" t="n"/>
      <c r="T18" s="14" t="n"/>
      <c r="U18" s="14" t="n"/>
      <c r="V18" s="14" t="n"/>
      <c r="W18" s="14" t="n"/>
    </row>
    <row r="19">
      <c r="A19" s="14" t="n"/>
      <c r="B19" s="14" t="n"/>
      <c r="C19" s="14" t="n"/>
      <c r="D19" s="15">
        <f>IF(B19=3,"control",IF(B19=4,"experimental",""))</f>
        <v/>
      </c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5">
        <f>IF(IF($B$7="literal",SUMPRODUCT(COUNTIF(F19:O19,'Conversión'!$A$5:$A$8)),COUNTIFS(F19:O19,"&gt;=0",F19:O19,"&lt;=20"))=0,"",IF($B$7="literal",SUMPRODUCT(COUNTIF(F19:O19,'Conversión'!$A$5:$A$8)),COUNTIFS(F19:O19,"&gt;=0",F19:O19,"&lt;=20")))</f>
        <v/>
      </c>
      <c r="Q19" s="15">
        <f>IF(P19="","",IF($B$7="literal",SUMPRODUCT(COUNTIF(F19:O19,'Conversión'!$A$5:$A$8)*'Conversión'!$B$5:$B$8),SUMIFS(F19:O19,F19:O19,"&gt;=0",F19:O19,"&lt;=20")))</f>
        <v/>
      </c>
      <c r="R19" s="15">
        <f>IF(P19="","",ROUND(Q19/P19,2))</f>
        <v/>
      </c>
      <c r="S19" s="14" t="n"/>
      <c r="T19" s="14" t="n"/>
      <c r="U19" s="14" t="n"/>
      <c r="V19" s="14" t="n"/>
      <c r="W19" s="14" t="n"/>
    </row>
    <row r="20">
      <c r="A20" s="14" t="n"/>
      <c r="B20" s="14" t="n"/>
      <c r="C20" s="14" t="n"/>
      <c r="D20" s="15">
        <f>IF(B20=3,"control",IF(B20=4,"experimental",""))</f>
        <v/>
      </c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5">
        <f>IF(IF($B$7="literal",SUMPRODUCT(COUNTIF(F20:O20,'Conversión'!$A$5:$A$8)),COUNTIFS(F20:O20,"&gt;=0",F20:O20,"&lt;=20"))=0,"",IF($B$7="literal",SUMPRODUCT(COUNTIF(F20:O20,'Conversión'!$A$5:$A$8)),COUNTIFS(F20:O20,"&gt;=0",F20:O20,"&lt;=20")))</f>
        <v/>
      </c>
      <c r="Q20" s="15">
        <f>IF(P20="","",IF($B$7="literal",SUMPRODUCT(COUNTIF(F20:O20,'Conversión'!$A$5:$A$8)*'Conversión'!$B$5:$B$8),SUMIFS(F20:O20,F20:O20,"&gt;=0",F20:O20,"&lt;=20")))</f>
        <v/>
      </c>
      <c r="R20" s="15">
        <f>IF(P20="","",ROUND(Q20/P20,2))</f>
        <v/>
      </c>
      <c r="S20" s="14" t="n"/>
      <c r="T20" s="14" t="n"/>
      <c r="U20" s="14" t="n"/>
      <c r="V20" s="14" t="n"/>
      <c r="W20" s="14" t="n"/>
    </row>
    <row r="21">
      <c r="A21" s="14" t="n"/>
      <c r="B21" s="14" t="n"/>
      <c r="C21" s="14" t="n"/>
      <c r="D21" s="15">
        <f>IF(B21=3,"control",IF(B21=4,"experimental",""))</f>
        <v/>
      </c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5">
        <f>IF(IF($B$7="literal",SUMPRODUCT(COUNTIF(F21:O21,'Conversión'!$A$5:$A$8)),COUNTIFS(F21:O21,"&gt;=0",F21:O21,"&lt;=20"))=0,"",IF($B$7="literal",SUMPRODUCT(COUNTIF(F21:O21,'Conversión'!$A$5:$A$8)),COUNTIFS(F21:O21,"&gt;=0",F21:O21,"&lt;=20")))</f>
        <v/>
      </c>
      <c r="Q21" s="15">
        <f>IF(P21="","",IF($B$7="literal",SUMPRODUCT(COUNTIF(F21:O21,'Conversión'!$A$5:$A$8)*'Conversión'!$B$5:$B$8),SUMIFS(F21:O21,F21:O21,"&gt;=0",F21:O21,"&lt;=20")))</f>
        <v/>
      </c>
      <c r="R21" s="15">
        <f>IF(P21="","",ROUND(Q21/P21,2))</f>
        <v/>
      </c>
      <c r="S21" s="14" t="n"/>
      <c r="T21" s="14" t="n"/>
      <c r="U21" s="14" t="n"/>
      <c r="V21" s="14" t="n"/>
      <c r="W21" s="14" t="n"/>
    </row>
    <row r="22">
      <c r="A22" s="14" t="n"/>
      <c r="B22" s="14" t="n"/>
      <c r="C22" s="14" t="n"/>
      <c r="D22" s="15">
        <f>IF(B22=3,"control",IF(B22=4,"experimental",""))</f>
        <v/>
      </c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5">
        <f>IF(IF($B$7="literal",SUMPRODUCT(COUNTIF(F22:O22,'Conversión'!$A$5:$A$8)),COUNTIFS(F22:O22,"&gt;=0",F22:O22,"&lt;=20"))=0,"",IF($B$7="literal",SUMPRODUCT(COUNTIF(F22:O22,'Conversión'!$A$5:$A$8)),COUNTIFS(F22:O22,"&gt;=0",F22:O22,"&lt;=20")))</f>
        <v/>
      </c>
      <c r="Q22" s="15">
        <f>IF(P22="","",IF($B$7="literal",SUMPRODUCT(COUNTIF(F22:O22,'Conversión'!$A$5:$A$8)*'Conversión'!$B$5:$B$8),SUMIFS(F22:O22,F22:O22,"&gt;=0",F22:O22,"&lt;=20")))</f>
        <v/>
      </c>
      <c r="R22" s="15">
        <f>IF(P22="","",ROUND(Q22/P22,2))</f>
        <v/>
      </c>
      <c r="S22" s="14" t="n"/>
      <c r="T22" s="14" t="n"/>
      <c r="U22" s="14" t="n"/>
      <c r="V22" s="14" t="n"/>
      <c r="W22" s="14" t="n"/>
    </row>
    <row r="23">
      <c r="A23" s="14" t="n"/>
      <c r="B23" s="14" t="n"/>
      <c r="C23" s="14" t="n"/>
      <c r="D23" s="15">
        <f>IF(B23=3,"control",IF(B23=4,"experimental",""))</f>
        <v/>
      </c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5">
        <f>IF(IF($B$7="literal",SUMPRODUCT(COUNTIF(F23:O23,'Conversión'!$A$5:$A$8)),COUNTIFS(F23:O23,"&gt;=0",F23:O23,"&lt;=20"))=0,"",IF($B$7="literal",SUMPRODUCT(COUNTIF(F23:O23,'Conversión'!$A$5:$A$8)),COUNTIFS(F23:O23,"&gt;=0",F23:O23,"&lt;=20")))</f>
        <v/>
      </c>
      <c r="Q23" s="15">
        <f>IF(P23="","",IF($B$7="literal",SUMPRODUCT(COUNTIF(F23:O23,'Conversión'!$A$5:$A$8)*'Conversión'!$B$5:$B$8),SUMIFS(F23:O23,F23:O23,"&gt;=0",F23:O23,"&lt;=20")))</f>
        <v/>
      </c>
      <c r="R23" s="15">
        <f>IF(P23="","",ROUND(Q23/P23,2))</f>
        <v/>
      </c>
      <c r="S23" s="14" t="n"/>
      <c r="T23" s="14" t="n"/>
      <c r="U23" s="14" t="n"/>
      <c r="V23" s="14" t="n"/>
      <c r="W23" s="14" t="n"/>
    </row>
    <row r="24">
      <c r="A24" s="14" t="n"/>
      <c r="B24" s="14" t="n"/>
      <c r="C24" s="14" t="n"/>
      <c r="D24" s="15">
        <f>IF(B24=3,"control",IF(B24=4,"experimental",""))</f>
        <v/>
      </c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5">
        <f>IF(IF($B$7="literal",SUMPRODUCT(COUNTIF(F24:O24,'Conversión'!$A$5:$A$8)),COUNTIFS(F24:O24,"&gt;=0",F24:O24,"&lt;=20"))=0,"",IF($B$7="literal",SUMPRODUCT(COUNTIF(F24:O24,'Conversión'!$A$5:$A$8)),COUNTIFS(F24:O24,"&gt;=0",F24:O24,"&lt;=20")))</f>
        <v/>
      </c>
      <c r="Q24" s="15">
        <f>IF(P24="","",IF($B$7="literal",SUMPRODUCT(COUNTIF(F24:O24,'Conversión'!$A$5:$A$8)*'Conversión'!$B$5:$B$8),SUMIFS(F24:O24,F24:O24,"&gt;=0",F24:O24,"&lt;=20")))</f>
        <v/>
      </c>
      <c r="R24" s="15">
        <f>IF(P24="","",ROUND(Q24/P24,2))</f>
        <v/>
      </c>
      <c r="S24" s="14" t="n"/>
      <c r="T24" s="14" t="n"/>
      <c r="U24" s="14" t="n"/>
      <c r="V24" s="14" t="n"/>
      <c r="W24" s="14" t="n"/>
    </row>
    <row r="25">
      <c r="A25" s="14" t="n"/>
      <c r="B25" s="14" t="n"/>
      <c r="C25" s="14" t="n"/>
      <c r="D25" s="15">
        <f>IF(B25=3,"control",IF(B25=4,"experimental",""))</f>
        <v/>
      </c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5">
        <f>IF(IF($B$7="literal",SUMPRODUCT(COUNTIF(F25:O25,'Conversión'!$A$5:$A$8)),COUNTIFS(F25:O25,"&gt;=0",F25:O25,"&lt;=20"))=0,"",IF($B$7="literal",SUMPRODUCT(COUNTIF(F25:O25,'Conversión'!$A$5:$A$8)),COUNTIFS(F25:O25,"&gt;=0",F25:O25,"&lt;=20")))</f>
        <v/>
      </c>
      <c r="Q25" s="15">
        <f>IF(P25="","",IF($B$7="literal",SUMPRODUCT(COUNTIF(F25:O25,'Conversión'!$A$5:$A$8)*'Conversión'!$B$5:$B$8),SUMIFS(F25:O25,F25:O25,"&gt;=0",F25:O25,"&lt;=20")))</f>
        <v/>
      </c>
      <c r="R25" s="15">
        <f>IF(P25="","",ROUND(Q25/P25,2))</f>
        <v/>
      </c>
      <c r="S25" s="14" t="n"/>
      <c r="T25" s="14" t="n"/>
      <c r="U25" s="14" t="n"/>
      <c r="V25" s="14" t="n"/>
      <c r="W25" s="14" t="n"/>
    </row>
    <row r="26">
      <c r="A26" s="14" t="n"/>
      <c r="B26" s="14" t="n"/>
      <c r="C26" s="14" t="n"/>
      <c r="D26" s="15">
        <f>IF(B26=3,"control",IF(B26=4,"experimental",""))</f>
        <v/>
      </c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5">
        <f>IF(IF($B$7="literal",SUMPRODUCT(COUNTIF(F26:O26,'Conversión'!$A$5:$A$8)),COUNTIFS(F26:O26,"&gt;=0",F26:O26,"&lt;=20"))=0,"",IF($B$7="literal",SUMPRODUCT(COUNTIF(F26:O26,'Conversión'!$A$5:$A$8)),COUNTIFS(F26:O26,"&gt;=0",F26:O26,"&lt;=20")))</f>
        <v/>
      </c>
      <c r="Q26" s="15">
        <f>IF(P26="","",IF($B$7="literal",SUMPRODUCT(COUNTIF(F26:O26,'Conversión'!$A$5:$A$8)*'Conversión'!$B$5:$B$8),SUMIFS(F26:O26,F26:O26,"&gt;=0",F26:O26,"&lt;=20")))</f>
        <v/>
      </c>
      <c r="R26" s="15">
        <f>IF(P26="","",ROUND(Q26/P26,2))</f>
        <v/>
      </c>
      <c r="S26" s="14" t="n"/>
      <c r="T26" s="14" t="n"/>
      <c r="U26" s="14" t="n"/>
      <c r="V26" s="14" t="n"/>
      <c r="W26" s="14" t="n"/>
    </row>
    <row r="27">
      <c r="A27" s="14" t="n"/>
      <c r="B27" s="14" t="n"/>
      <c r="C27" s="14" t="n"/>
      <c r="D27" s="15">
        <f>IF(B27=3,"control",IF(B27=4,"experimental",""))</f>
        <v/>
      </c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5">
        <f>IF(IF($B$7="literal",SUMPRODUCT(COUNTIF(F27:O27,'Conversión'!$A$5:$A$8)),COUNTIFS(F27:O27,"&gt;=0",F27:O27,"&lt;=20"))=0,"",IF($B$7="literal",SUMPRODUCT(COUNTIF(F27:O27,'Conversión'!$A$5:$A$8)),COUNTIFS(F27:O27,"&gt;=0",F27:O27,"&lt;=20")))</f>
        <v/>
      </c>
      <c r="Q27" s="15">
        <f>IF(P27="","",IF($B$7="literal",SUMPRODUCT(COUNTIF(F27:O27,'Conversión'!$A$5:$A$8)*'Conversión'!$B$5:$B$8),SUMIFS(F27:O27,F27:O27,"&gt;=0",F27:O27,"&lt;=20")))</f>
        <v/>
      </c>
      <c r="R27" s="15">
        <f>IF(P27="","",ROUND(Q27/P27,2))</f>
        <v/>
      </c>
      <c r="S27" s="14" t="n"/>
      <c r="T27" s="14" t="n"/>
      <c r="U27" s="14" t="n"/>
      <c r="V27" s="14" t="n"/>
      <c r="W27" s="14" t="n"/>
    </row>
    <row r="28">
      <c r="A28" s="14" t="n"/>
      <c r="B28" s="14" t="n"/>
      <c r="C28" s="14" t="n"/>
      <c r="D28" s="15">
        <f>IF(B28=3,"control",IF(B28=4,"experimental",""))</f>
        <v/>
      </c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5">
        <f>IF(IF($B$7="literal",SUMPRODUCT(COUNTIF(F28:O28,'Conversión'!$A$5:$A$8)),COUNTIFS(F28:O28,"&gt;=0",F28:O28,"&lt;=20"))=0,"",IF($B$7="literal",SUMPRODUCT(COUNTIF(F28:O28,'Conversión'!$A$5:$A$8)),COUNTIFS(F28:O28,"&gt;=0",F28:O28,"&lt;=20")))</f>
        <v/>
      </c>
      <c r="Q28" s="15">
        <f>IF(P28="","",IF($B$7="literal",SUMPRODUCT(COUNTIF(F28:O28,'Conversión'!$A$5:$A$8)*'Conversión'!$B$5:$B$8),SUMIFS(F28:O28,F28:O28,"&gt;=0",F28:O28,"&lt;=20")))</f>
        <v/>
      </c>
      <c r="R28" s="15">
        <f>IF(P28="","",ROUND(Q28/P28,2))</f>
        <v/>
      </c>
      <c r="S28" s="14" t="n"/>
      <c r="T28" s="14" t="n"/>
      <c r="U28" s="14" t="n"/>
      <c r="V28" s="14" t="n"/>
      <c r="W28" s="14" t="n"/>
    </row>
    <row r="29">
      <c r="A29" s="14" t="n"/>
      <c r="B29" s="14" t="n"/>
      <c r="C29" s="14" t="n"/>
      <c r="D29" s="15">
        <f>IF(B29=3,"control",IF(B29=4,"experimental",""))</f>
        <v/>
      </c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5">
        <f>IF(IF($B$7="literal",SUMPRODUCT(COUNTIF(F29:O29,'Conversión'!$A$5:$A$8)),COUNTIFS(F29:O29,"&gt;=0",F29:O29,"&lt;=20"))=0,"",IF($B$7="literal",SUMPRODUCT(COUNTIF(F29:O29,'Conversión'!$A$5:$A$8)),COUNTIFS(F29:O29,"&gt;=0",F29:O29,"&lt;=20")))</f>
        <v/>
      </c>
      <c r="Q29" s="15">
        <f>IF(P29="","",IF($B$7="literal",SUMPRODUCT(COUNTIF(F29:O29,'Conversión'!$A$5:$A$8)*'Conversión'!$B$5:$B$8),SUMIFS(F29:O29,F29:O29,"&gt;=0",F29:O29,"&lt;=20")))</f>
        <v/>
      </c>
      <c r="R29" s="15">
        <f>IF(P29="","",ROUND(Q29/P29,2))</f>
        <v/>
      </c>
      <c r="S29" s="14" t="n"/>
      <c r="T29" s="14" t="n"/>
      <c r="U29" s="14" t="n"/>
      <c r="V29" s="14" t="n"/>
      <c r="W29" s="14" t="n"/>
    </row>
    <row r="30">
      <c r="A30" s="14" t="n"/>
      <c r="B30" s="14" t="n"/>
      <c r="C30" s="14" t="n"/>
      <c r="D30" s="15">
        <f>IF(B30=3,"control",IF(B30=4,"experimental",""))</f>
        <v/>
      </c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5">
        <f>IF(IF($B$7="literal",SUMPRODUCT(COUNTIF(F30:O30,'Conversión'!$A$5:$A$8)),COUNTIFS(F30:O30,"&gt;=0",F30:O30,"&lt;=20"))=0,"",IF($B$7="literal",SUMPRODUCT(COUNTIF(F30:O30,'Conversión'!$A$5:$A$8)),COUNTIFS(F30:O30,"&gt;=0",F30:O30,"&lt;=20")))</f>
        <v/>
      </c>
      <c r="Q30" s="15">
        <f>IF(P30="","",IF($B$7="literal",SUMPRODUCT(COUNTIF(F30:O30,'Conversión'!$A$5:$A$8)*'Conversión'!$B$5:$B$8),SUMIFS(F30:O30,F30:O30,"&gt;=0",F30:O30,"&lt;=20")))</f>
        <v/>
      </c>
      <c r="R30" s="15">
        <f>IF(P30="","",ROUND(Q30/P30,2))</f>
        <v/>
      </c>
      <c r="S30" s="14" t="n"/>
      <c r="T30" s="14" t="n"/>
      <c r="U30" s="14" t="n"/>
      <c r="V30" s="14" t="n"/>
      <c r="W30" s="14" t="n"/>
    </row>
    <row r="31">
      <c r="A31" s="14" t="n"/>
      <c r="B31" s="14" t="n"/>
      <c r="C31" s="14" t="n"/>
      <c r="D31" s="15">
        <f>IF(B31=3,"control",IF(B31=4,"experimental",""))</f>
        <v/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5">
        <f>IF(IF($B$7="literal",SUMPRODUCT(COUNTIF(F31:O31,'Conversión'!$A$5:$A$8)),COUNTIFS(F31:O31,"&gt;=0",F31:O31,"&lt;=20"))=0,"",IF($B$7="literal",SUMPRODUCT(COUNTIF(F31:O31,'Conversión'!$A$5:$A$8)),COUNTIFS(F31:O31,"&gt;=0",F31:O31,"&lt;=20")))</f>
        <v/>
      </c>
      <c r="Q31" s="15">
        <f>IF(P31="","",IF($B$7="literal",SUMPRODUCT(COUNTIF(F31:O31,'Conversión'!$A$5:$A$8)*'Conversión'!$B$5:$B$8),SUMIFS(F31:O31,F31:O31,"&gt;=0",F31:O31,"&lt;=20")))</f>
        <v/>
      </c>
      <c r="R31" s="15">
        <f>IF(P31="","",ROUND(Q31/P31,2))</f>
        <v/>
      </c>
      <c r="S31" s="14" t="n"/>
      <c r="T31" s="14" t="n"/>
      <c r="U31" s="14" t="n"/>
      <c r="V31" s="14" t="n"/>
      <c r="W31" s="14" t="n"/>
    </row>
    <row r="32">
      <c r="A32" s="14" t="n"/>
      <c r="B32" s="14" t="n"/>
      <c r="C32" s="14" t="n"/>
      <c r="D32" s="15">
        <f>IF(B32=3,"control",IF(B32=4,"experimental",""))</f>
        <v/>
      </c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5">
        <f>IF(IF($B$7="literal",SUMPRODUCT(COUNTIF(F32:O32,'Conversión'!$A$5:$A$8)),COUNTIFS(F32:O32,"&gt;=0",F32:O32,"&lt;=20"))=0,"",IF($B$7="literal",SUMPRODUCT(COUNTIF(F32:O32,'Conversión'!$A$5:$A$8)),COUNTIFS(F32:O32,"&gt;=0",F32:O32,"&lt;=20")))</f>
        <v/>
      </c>
      <c r="Q32" s="15">
        <f>IF(P32="","",IF($B$7="literal",SUMPRODUCT(COUNTIF(F32:O32,'Conversión'!$A$5:$A$8)*'Conversión'!$B$5:$B$8),SUMIFS(F32:O32,F32:O32,"&gt;=0",F32:O32,"&lt;=20")))</f>
        <v/>
      </c>
      <c r="R32" s="15">
        <f>IF(P32="","",ROUND(Q32/P32,2))</f>
        <v/>
      </c>
      <c r="S32" s="14" t="n"/>
      <c r="T32" s="14" t="n"/>
      <c r="U32" s="14" t="n"/>
      <c r="V32" s="14" t="n"/>
      <c r="W32" s="14" t="n"/>
    </row>
    <row r="33">
      <c r="A33" s="14" t="n"/>
      <c r="B33" s="14" t="n"/>
      <c r="C33" s="14" t="n"/>
      <c r="D33" s="15">
        <f>IF(B33=3,"control",IF(B33=4,"experimental",""))</f>
        <v/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5">
        <f>IF(IF($B$7="literal",SUMPRODUCT(COUNTIF(F33:O33,'Conversión'!$A$5:$A$8)),COUNTIFS(F33:O33,"&gt;=0",F33:O33,"&lt;=20"))=0,"",IF($B$7="literal",SUMPRODUCT(COUNTIF(F33:O33,'Conversión'!$A$5:$A$8)),COUNTIFS(F33:O33,"&gt;=0",F33:O33,"&lt;=20")))</f>
        <v/>
      </c>
      <c r="Q33" s="15">
        <f>IF(P33="","",IF($B$7="literal",SUMPRODUCT(COUNTIF(F33:O33,'Conversión'!$A$5:$A$8)*'Conversión'!$B$5:$B$8),SUMIFS(F33:O33,F33:O33,"&gt;=0",F33:O33,"&lt;=20")))</f>
        <v/>
      </c>
      <c r="R33" s="15">
        <f>IF(P33="","",ROUND(Q33/P33,2))</f>
        <v/>
      </c>
      <c r="S33" s="14" t="n"/>
      <c r="T33" s="14" t="n"/>
      <c r="U33" s="14" t="n"/>
      <c r="V33" s="14" t="n"/>
      <c r="W33" s="14" t="n"/>
    </row>
    <row r="34">
      <c r="A34" s="14" t="n"/>
      <c r="B34" s="14" t="n"/>
      <c r="C34" s="14" t="n"/>
      <c r="D34" s="15">
        <f>IF(B34=3,"control",IF(B34=4,"experimental",""))</f>
        <v/>
      </c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5">
        <f>IF(IF($B$7="literal",SUMPRODUCT(COUNTIF(F34:O34,'Conversión'!$A$5:$A$8)),COUNTIFS(F34:O34,"&gt;=0",F34:O34,"&lt;=20"))=0,"",IF($B$7="literal",SUMPRODUCT(COUNTIF(F34:O34,'Conversión'!$A$5:$A$8)),COUNTIFS(F34:O34,"&gt;=0",F34:O34,"&lt;=20")))</f>
        <v/>
      </c>
      <c r="Q34" s="15">
        <f>IF(P34="","",IF($B$7="literal",SUMPRODUCT(COUNTIF(F34:O34,'Conversión'!$A$5:$A$8)*'Conversión'!$B$5:$B$8),SUMIFS(F34:O34,F34:O34,"&gt;=0",F34:O34,"&lt;=20")))</f>
        <v/>
      </c>
      <c r="R34" s="15">
        <f>IF(P34="","",ROUND(Q34/P34,2))</f>
        <v/>
      </c>
      <c r="S34" s="14" t="n"/>
      <c r="T34" s="14" t="n"/>
      <c r="U34" s="14" t="n"/>
      <c r="V34" s="14" t="n"/>
      <c r="W34" s="14" t="n"/>
    </row>
    <row r="35">
      <c r="A35" s="14" t="n"/>
      <c r="B35" s="14" t="n"/>
      <c r="C35" s="14" t="n"/>
      <c r="D35" s="15">
        <f>IF(B35=3,"control",IF(B35=4,"experimental",""))</f>
        <v/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5">
        <f>IF(IF($B$7="literal",SUMPRODUCT(COUNTIF(F35:O35,'Conversión'!$A$5:$A$8)),COUNTIFS(F35:O35,"&gt;=0",F35:O35,"&lt;=20"))=0,"",IF($B$7="literal",SUMPRODUCT(COUNTIF(F35:O35,'Conversión'!$A$5:$A$8)),COUNTIFS(F35:O35,"&gt;=0",F35:O35,"&lt;=20")))</f>
        <v/>
      </c>
      <c r="Q35" s="15">
        <f>IF(P35="","",IF($B$7="literal",SUMPRODUCT(COUNTIF(F35:O35,'Conversión'!$A$5:$A$8)*'Conversión'!$B$5:$B$8),SUMIFS(F35:O35,F35:O35,"&gt;=0",F35:O35,"&lt;=20")))</f>
        <v/>
      </c>
      <c r="R35" s="15">
        <f>IF(P35="","",ROUND(Q35/P35,2))</f>
        <v/>
      </c>
      <c r="S35" s="14" t="n"/>
      <c r="T35" s="14" t="n"/>
      <c r="U35" s="14" t="n"/>
      <c r="V35" s="14" t="n"/>
      <c r="W35" s="14" t="n"/>
    </row>
    <row r="36">
      <c r="A36" s="14" t="n"/>
      <c r="B36" s="14" t="n"/>
      <c r="C36" s="14" t="n"/>
      <c r="D36" s="15">
        <f>IF(B36=3,"control",IF(B36=4,"experimental",""))</f>
        <v/>
      </c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5">
        <f>IF(IF($B$7="literal",SUMPRODUCT(COUNTIF(F36:O36,'Conversión'!$A$5:$A$8)),COUNTIFS(F36:O36,"&gt;=0",F36:O36,"&lt;=20"))=0,"",IF($B$7="literal",SUMPRODUCT(COUNTIF(F36:O36,'Conversión'!$A$5:$A$8)),COUNTIFS(F36:O36,"&gt;=0",F36:O36,"&lt;=20")))</f>
        <v/>
      </c>
      <c r="Q36" s="15">
        <f>IF(P36="","",IF($B$7="literal",SUMPRODUCT(COUNTIF(F36:O36,'Conversión'!$A$5:$A$8)*'Conversión'!$B$5:$B$8),SUMIFS(F36:O36,F36:O36,"&gt;=0",F36:O36,"&lt;=20")))</f>
        <v/>
      </c>
      <c r="R36" s="15">
        <f>IF(P36="","",ROUND(Q36/P36,2))</f>
        <v/>
      </c>
      <c r="S36" s="14" t="n"/>
      <c r="T36" s="14" t="n"/>
      <c r="U36" s="14" t="n"/>
      <c r="V36" s="14" t="n"/>
      <c r="W36" s="14" t="n"/>
    </row>
    <row r="37">
      <c r="A37" s="14" t="n"/>
      <c r="B37" s="14" t="n"/>
      <c r="C37" s="14" t="n"/>
      <c r="D37" s="15">
        <f>IF(B37=3,"control",IF(B37=4,"experimental",""))</f>
        <v/>
      </c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5">
        <f>IF(IF($B$7="literal",SUMPRODUCT(COUNTIF(F37:O37,'Conversión'!$A$5:$A$8)),COUNTIFS(F37:O37,"&gt;=0",F37:O37,"&lt;=20"))=0,"",IF($B$7="literal",SUMPRODUCT(COUNTIF(F37:O37,'Conversión'!$A$5:$A$8)),COUNTIFS(F37:O37,"&gt;=0",F37:O37,"&lt;=20")))</f>
        <v/>
      </c>
      <c r="Q37" s="15">
        <f>IF(P37="","",IF($B$7="literal",SUMPRODUCT(COUNTIF(F37:O37,'Conversión'!$A$5:$A$8)*'Conversión'!$B$5:$B$8),SUMIFS(F37:O37,F37:O37,"&gt;=0",F37:O37,"&lt;=20")))</f>
        <v/>
      </c>
      <c r="R37" s="15">
        <f>IF(P37="","",ROUND(Q37/P37,2))</f>
        <v/>
      </c>
      <c r="S37" s="14" t="n"/>
      <c r="T37" s="14" t="n"/>
      <c r="U37" s="14" t="n"/>
      <c r="V37" s="14" t="n"/>
      <c r="W37" s="14" t="n"/>
    </row>
    <row r="38">
      <c r="A38" s="14" t="n"/>
      <c r="B38" s="14" t="n"/>
      <c r="C38" s="14" t="n"/>
      <c r="D38" s="15">
        <f>IF(B38=3,"control",IF(B38=4,"experimental",""))</f>
        <v/>
      </c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5">
        <f>IF(IF($B$7="literal",SUMPRODUCT(COUNTIF(F38:O38,'Conversión'!$A$5:$A$8)),COUNTIFS(F38:O38,"&gt;=0",F38:O38,"&lt;=20"))=0,"",IF($B$7="literal",SUMPRODUCT(COUNTIF(F38:O38,'Conversión'!$A$5:$A$8)),COUNTIFS(F38:O38,"&gt;=0",F38:O38,"&lt;=20")))</f>
        <v/>
      </c>
      <c r="Q38" s="15">
        <f>IF(P38="","",IF($B$7="literal",SUMPRODUCT(COUNTIF(F38:O38,'Conversión'!$A$5:$A$8)*'Conversión'!$B$5:$B$8),SUMIFS(F38:O38,F38:O38,"&gt;=0",F38:O38,"&lt;=20")))</f>
        <v/>
      </c>
      <c r="R38" s="15">
        <f>IF(P38="","",ROUND(Q38/P38,2))</f>
        <v/>
      </c>
      <c r="S38" s="14" t="n"/>
      <c r="T38" s="14" t="n"/>
      <c r="U38" s="14" t="n"/>
      <c r="V38" s="14" t="n"/>
      <c r="W38" s="14" t="n"/>
    </row>
    <row r="39">
      <c r="A39" s="14" t="n"/>
      <c r="B39" s="14" t="n"/>
      <c r="C39" s="14" t="n"/>
      <c r="D39" s="15">
        <f>IF(B39=3,"control",IF(B39=4,"experimental",""))</f>
        <v/>
      </c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5">
        <f>IF(IF($B$7="literal",SUMPRODUCT(COUNTIF(F39:O39,'Conversión'!$A$5:$A$8)),COUNTIFS(F39:O39,"&gt;=0",F39:O39,"&lt;=20"))=0,"",IF($B$7="literal",SUMPRODUCT(COUNTIF(F39:O39,'Conversión'!$A$5:$A$8)),COUNTIFS(F39:O39,"&gt;=0",F39:O39,"&lt;=20")))</f>
        <v/>
      </c>
      <c r="Q39" s="15">
        <f>IF(P39="","",IF($B$7="literal",SUMPRODUCT(COUNTIF(F39:O39,'Conversión'!$A$5:$A$8)*'Conversión'!$B$5:$B$8),SUMIFS(F39:O39,F39:O39,"&gt;=0",F39:O39,"&lt;=20")))</f>
        <v/>
      </c>
      <c r="R39" s="15">
        <f>IF(P39="","",ROUND(Q39/P39,2))</f>
        <v/>
      </c>
      <c r="S39" s="14" t="n"/>
      <c r="T39" s="14" t="n"/>
      <c r="U39" s="14" t="n"/>
      <c r="V39" s="14" t="n"/>
      <c r="W39" s="14" t="n"/>
    </row>
    <row r="40">
      <c r="A40" s="14" t="n"/>
      <c r="B40" s="14" t="n"/>
      <c r="C40" s="14" t="n"/>
      <c r="D40" s="15">
        <f>IF(B40=3,"control",IF(B40=4,"experimental",""))</f>
        <v/>
      </c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5">
        <f>IF(IF($B$7="literal",SUMPRODUCT(COUNTIF(F40:O40,'Conversión'!$A$5:$A$8)),COUNTIFS(F40:O40,"&gt;=0",F40:O40,"&lt;=20"))=0,"",IF($B$7="literal",SUMPRODUCT(COUNTIF(F40:O40,'Conversión'!$A$5:$A$8)),COUNTIFS(F40:O40,"&gt;=0",F40:O40,"&lt;=20")))</f>
        <v/>
      </c>
      <c r="Q40" s="15">
        <f>IF(P40="","",IF($B$7="literal",SUMPRODUCT(COUNTIF(F40:O40,'Conversión'!$A$5:$A$8)*'Conversión'!$B$5:$B$8),SUMIFS(F40:O40,F40:O40,"&gt;=0",F40:O40,"&lt;=20")))</f>
        <v/>
      </c>
      <c r="R40" s="15">
        <f>IF(P40="","",ROUND(Q40/P40,2))</f>
        <v/>
      </c>
      <c r="S40" s="14" t="n"/>
      <c r="T40" s="14" t="n"/>
      <c r="U40" s="14" t="n"/>
      <c r="V40" s="14" t="n"/>
      <c r="W40" s="14" t="n"/>
    </row>
    <row r="41">
      <c r="A41" s="14" t="n"/>
      <c r="B41" s="14" t="n"/>
      <c r="C41" s="14" t="n"/>
      <c r="D41" s="15">
        <f>IF(B41=3,"control",IF(B41=4,"experimental",""))</f>
        <v/>
      </c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5">
        <f>IF(IF($B$7="literal",SUMPRODUCT(COUNTIF(F41:O41,'Conversión'!$A$5:$A$8)),COUNTIFS(F41:O41,"&gt;=0",F41:O41,"&lt;=20"))=0,"",IF($B$7="literal",SUMPRODUCT(COUNTIF(F41:O41,'Conversión'!$A$5:$A$8)),COUNTIFS(F41:O41,"&gt;=0",F41:O41,"&lt;=20")))</f>
        <v/>
      </c>
      <c r="Q41" s="15">
        <f>IF(P41="","",IF($B$7="literal",SUMPRODUCT(COUNTIF(F41:O41,'Conversión'!$A$5:$A$8)*'Conversión'!$B$5:$B$8),SUMIFS(F41:O41,F41:O41,"&gt;=0",F41:O41,"&lt;=20")))</f>
        <v/>
      </c>
      <c r="R41" s="15">
        <f>IF(P41="","",ROUND(Q41/P41,2))</f>
        <v/>
      </c>
      <c r="S41" s="14" t="n"/>
      <c r="T41" s="14" t="n"/>
      <c r="U41" s="14" t="n"/>
      <c r="V41" s="14" t="n"/>
      <c r="W41" s="14" t="n"/>
    </row>
    <row r="42">
      <c r="A42" s="14" t="n"/>
      <c r="B42" s="14" t="n"/>
      <c r="C42" s="14" t="n"/>
      <c r="D42" s="15">
        <f>IF(B42=3,"control",IF(B42=4,"experimental",""))</f>
        <v/>
      </c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5">
        <f>IF(IF($B$7="literal",SUMPRODUCT(COUNTIF(F42:O42,'Conversión'!$A$5:$A$8)),COUNTIFS(F42:O42,"&gt;=0",F42:O42,"&lt;=20"))=0,"",IF($B$7="literal",SUMPRODUCT(COUNTIF(F42:O42,'Conversión'!$A$5:$A$8)),COUNTIFS(F42:O42,"&gt;=0",F42:O42,"&lt;=20")))</f>
        <v/>
      </c>
      <c r="Q42" s="15">
        <f>IF(P42="","",IF($B$7="literal",SUMPRODUCT(COUNTIF(F42:O42,'Conversión'!$A$5:$A$8)*'Conversión'!$B$5:$B$8),SUMIFS(F42:O42,F42:O42,"&gt;=0",F42:O42,"&lt;=20")))</f>
        <v/>
      </c>
      <c r="R42" s="15">
        <f>IF(P42="","",ROUND(Q42/P42,2))</f>
        <v/>
      </c>
      <c r="S42" s="14" t="n"/>
      <c r="T42" s="14" t="n"/>
      <c r="U42" s="14" t="n"/>
      <c r="V42" s="14" t="n"/>
      <c r="W42" s="14" t="n"/>
    </row>
    <row r="43">
      <c r="A43" s="14" t="n"/>
      <c r="B43" s="14" t="n"/>
      <c r="C43" s="14" t="n"/>
      <c r="D43" s="15">
        <f>IF(B43=3,"control",IF(B43=4,"experimental",""))</f>
        <v/>
      </c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5">
        <f>IF(IF($B$7="literal",SUMPRODUCT(COUNTIF(F43:O43,'Conversión'!$A$5:$A$8)),COUNTIFS(F43:O43,"&gt;=0",F43:O43,"&lt;=20"))=0,"",IF($B$7="literal",SUMPRODUCT(COUNTIF(F43:O43,'Conversión'!$A$5:$A$8)),COUNTIFS(F43:O43,"&gt;=0",F43:O43,"&lt;=20")))</f>
        <v/>
      </c>
      <c r="Q43" s="15">
        <f>IF(P43="","",IF($B$7="literal",SUMPRODUCT(COUNTIF(F43:O43,'Conversión'!$A$5:$A$8)*'Conversión'!$B$5:$B$8),SUMIFS(F43:O43,F43:O43,"&gt;=0",F43:O43,"&lt;=20")))</f>
        <v/>
      </c>
      <c r="R43" s="15">
        <f>IF(P43="","",ROUND(Q43/P43,2))</f>
        <v/>
      </c>
      <c r="S43" s="14" t="n"/>
      <c r="T43" s="14" t="n"/>
      <c r="U43" s="14" t="n"/>
      <c r="V43" s="14" t="n"/>
      <c r="W43" s="14" t="n"/>
    </row>
    <row r="44">
      <c r="A44" s="14" t="n"/>
      <c r="B44" s="14" t="n"/>
      <c r="C44" s="14" t="n"/>
      <c r="D44" s="15">
        <f>IF(B44=3,"control",IF(B44=4,"experimental",""))</f>
        <v/>
      </c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5">
        <f>IF(IF($B$7="literal",SUMPRODUCT(COUNTIF(F44:O44,'Conversión'!$A$5:$A$8)),COUNTIFS(F44:O44,"&gt;=0",F44:O44,"&lt;=20"))=0,"",IF($B$7="literal",SUMPRODUCT(COUNTIF(F44:O44,'Conversión'!$A$5:$A$8)),COUNTIFS(F44:O44,"&gt;=0",F44:O44,"&lt;=20")))</f>
        <v/>
      </c>
      <c r="Q44" s="15">
        <f>IF(P44="","",IF($B$7="literal",SUMPRODUCT(COUNTIF(F44:O44,'Conversión'!$A$5:$A$8)*'Conversión'!$B$5:$B$8),SUMIFS(F44:O44,F44:O44,"&gt;=0",F44:O44,"&lt;=20")))</f>
        <v/>
      </c>
      <c r="R44" s="15">
        <f>IF(P44="","",ROUND(Q44/P44,2))</f>
        <v/>
      </c>
      <c r="S44" s="14" t="n"/>
      <c r="T44" s="14" t="n"/>
      <c r="U44" s="14" t="n"/>
      <c r="V44" s="14" t="n"/>
      <c r="W44" s="14" t="n"/>
    </row>
    <row r="45">
      <c r="A45" s="14" t="n"/>
      <c r="B45" s="14" t="n"/>
      <c r="C45" s="14" t="n"/>
      <c r="D45" s="15">
        <f>IF(B45=3,"control",IF(B45=4,"experimental",""))</f>
        <v/>
      </c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5">
        <f>IF(IF($B$7="literal",SUMPRODUCT(COUNTIF(F45:O45,'Conversión'!$A$5:$A$8)),COUNTIFS(F45:O45,"&gt;=0",F45:O45,"&lt;=20"))=0,"",IF($B$7="literal",SUMPRODUCT(COUNTIF(F45:O45,'Conversión'!$A$5:$A$8)),COUNTIFS(F45:O45,"&gt;=0",F45:O45,"&lt;=20")))</f>
        <v/>
      </c>
      <c r="Q45" s="15">
        <f>IF(P45="","",IF($B$7="literal",SUMPRODUCT(COUNTIF(F45:O45,'Conversión'!$A$5:$A$8)*'Conversión'!$B$5:$B$8),SUMIFS(F45:O45,F45:O45,"&gt;=0",F45:O45,"&lt;=20")))</f>
        <v/>
      </c>
      <c r="R45" s="15">
        <f>IF(P45="","",ROUND(Q45/P45,2))</f>
        <v/>
      </c>
      <c r="S45" s="14" t="n"/>
      <c r="T45" s="14" t="n"/>
      <c r="U45" s="14" t="n"/>
      <c r="V45" s="14" t="n"/>
      <c r="W45" s="14" t="n"/>
    </row>
    <row r="46">
      <c r="A46" s="14" t="n"/>
      <c r="B46" s="14" t="n"/>
      <c r="C46" s="14" t="n"/>
      <c r="D46" s="15">
        <f>IF(B46=3,"control",IF(B46=4,"experimental",""))</f>
        <v/>
      </c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5">
        <f>IF(IF($B$7="literal",SUMPRODUCT(COUNTIF(F46:O46,'Conversión'!$A$5:$A$8)),COUNTIFS(F46:O46,"&gt;=0",F46:O46,"&lt;=20"))=0,"",IF($B$7="literal",SUMPRODUCT(COUNTIF(F46:O46,'Conversión'!$A$5:$A$8)),COUNTIFS(F46:O46,"&gt;=0",F46:O46,"&lt;=20")))</f>
        <v/>
      </c>
      <c r="Q46" s="15">
        <f>IF(P46="","",IF($B$7="literal",SUMPRODUCT(COUNTIF(F46:O46,'Conversión'!$A$5:$A$8)*'Conversión'!$B$5:$B$8),SUMIFS(F46:O46,F46:O46,"&gt;=0",F46:O46,"&lt;=20")))</f>
        <v/>
      </c>
      <c r="R46" s="15">
        <f>IF(P46="","",ROUND(Q46/P46,2))</f>
        <v/>
      </c>
      <c r="S46" s="14" t="n"/>
      <c r="T46" s="14" t="n"/>
      <c r="U46" s="14" t="n"/>
      <c r="V46" s="14" t="n"/>
      <c r="W46" s="14" t="n"/>
    </row>
    <row r="47">
      <c r="A47" s="14" t="n"/>
      <c r="B47" s="14" t="n"/>
      <c r="C47" s="14" t="n"/>
      <c r="D47" s="15">
        <f>IF(B47=3,"control",IF(B47=4,"experimental",""))</f>
        <v/>
      </c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5">
        <f>IF(IF($B$7="literal",SUMPRODUCT(COUNTIF(F47:O47,'Conversión'!$A$5:$A$8)),COUNTIFS(F47:O47,"&gt;=0",F47:O47,"&lt;=20"))=0,"",IF($B$7="literal",SUMPRODUCT(COUNTIF(F47:O47,'Conversión'!$A$5:$A$8)),COUNTIFS(F47:O47,"&gt;=0",F47:O47,"&lt;=20")))</f>
        <v/>
      </c>
      <c r="Q47" s="15">
        <f>IF(P47="","",IF($B$7="literal",SUMPRODUCT(COUNTIF(F47:O47,'Conversión'!$A$5:$A$8)*'Conversión'!$B$5:$B$8),SUMIFS(F47:O47,F47:O47,"&gt;=0",F47:O47,"&lt;=20")))</f>
        <v/>
      </c>
      <c r="R47" s="15">
        <f>IF(P47="","",ROUND(Q47/P47,2))</f>
        <v/>
      </c>
      <c r="S47" s="14" t="n"/>
      <c r="T47" s="14" t="n"/>
      <c r="U47" s="14" t="n"/>
      <c r="V47" s="14" t="n"/>
      <c r="W47" s="14" t="n"/>
    </row>
    <row r="48">
      <c r="A48" s="14" t="n"/>
      <c r="B48" s="14" t="n"/>
      <c r="C48" s="14" t="n"/>
      <c r="D48" s="15">
        <f>IF(B48=3,"control",IF(B48=4,"experimental",""))</f>
        <v/>
      </c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5">
        <f>IF(IF($B$7="literal",SUMPRODUCT(COUNTIF(F48:O48,'Conversión'!$A$5:$A$8)),COUNTIFS(F48:O48,"&gt;=0",F48:O48,"&lt;=20"))=0,"",IF($B$7="literal",SUMPRODUCT(COUNTIF(F48:O48,'Conversión'!$A$5:$A$8)),COUNTIFS(F48:O48,"&gt;=0",F48:O48,"&lt;=20")))</f>
        <v/>
      </c>
      <c r="Q48" s="15">
        <f>IF(P48="","",IF($B$7="literal",SUMPRODUCT(COUNTIF(F48:O48,'Conversión'!$A$5:$A$8)*'Conversión'!$B$5:$B$8),SUMIFS(F48:O48,F48:O48,"&gt;=0",F48:O48,"&lt;=20")))</f>
        <v/>
      </c>
      <c r="R48" s="15">
        <f>IF(P48="","",ROUND(Q48/P48,2))</f>
        <v/>
      </c>
      <c r="S48" s="14" t="n"/>
      <c r="T48" s="14" t="n"/>
      <c r="U48" s="14" t="n"/>
      <c r="V48" s="14" t="n"/>
      <c r="W48" s="14" t="n"/>
    </row>
    <row r="49">
      <c r="A49" s="14" t="n"/>
      <c r="B49" s="14" t="n"/>
      <c r="C49" s="14" t="n"/>
      <c r="D49" s="15">
        <f>IF(B49=3,"control",IF(B49=4,"experimental",""))</f>
        <v/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5">
        <f>IF(IF($B$7="literal",SUMPRODUCT(COUNTIF(F49:O49,'Conversión'!$A$5:$A$8)),COUNTIFS(F49:O49,"&gt;=0",F49:O49,"&lt;=20"))=0,"",IF($B$7="literal",SUMPRODUCT(COUNTIF(F49:O49,'Conversión'!$A$5:$A$8)),COUNTIFS(F49:O49,"&gt;=0",F49:O49,"&lt;=20")))</f>
        <v/>
      </c>
      <c r="Q49" s="15">
        <f>IF(P49="","",IF($B$7="literal",SUMPRODUCT(COUNTIF(F49:O49,'Conversión'!$A$5:$A$8)*'Conversión'!$B$5:$B$8),SUMIFS(F49:O49,F49:O49,"&gt;=0",F49:O49,"&lt;=20")))</f>
        <v/>
      </c>
      <c r="R49" s="15">
        <f>IF(P49="","",ROUND(Q49/P49,2))</f>
        <v/>
      </c>
      <c r="S49" s="14" t="n"/>
      <c r="T49" s="14" t="n"/>
      <c r="U49" s="14" t="n"/>
      <c r="V49" s="14" t="n"/>
      <c r="W49" s="14" t="n"/>
    </row>
    <row r="50">
      <c r="A50" s="14" t="n"/>
      <c r="B50" s="14" t="n"/>
      <c r="C50" s="14" t="n"/>
      <c r="D50" s="15">
        <f>IF(B50=3,"control",IF(B50=4,"experimental",""))</f>
        <v/>
      </c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5">
        <f>IF(IF($B$7="literal",SUMPRODUCT(COUNTIF(F50:O50,'Conversión'!$A$5:$A$8)),COUNTIFS(F50:O50,"&gt;=0",F50:O50,"&lt;=20"))=0,"",IF($B$7="literal",SUMPRODUCT(COUNTIF(F50:O50,'Conversión'!$A$5:$A$8)),COUNTIFS(F50:O50,"&gt;=0",F50:O50,"&lt;=20")))</f>
        <v/>
      </c>
      <c r="Q50" s="15">
        <f>IF(P50="","",IF($B$7="literal",SUMPRODUCT(COUNTIF(F50:O50,'Conversión'!$A$5:$A$8)*'Conversión'!$B$5:$B$8),SUMIFS(F50:O50,F50:O50,"&gt;=0",F50:O50,"&lt;=20")))</f>
        <v/>
      </c>
      <c r="R50" s="15">
        <f>IF(P50="","",ROUND(Q50/P50,2))</f>
        <v/>
      </c>
      <c r="S50" s="14" t="n"/>
      <c r="T50" s="14" t="n"/>
      <c r="U50" s="14" t="n"/>
      <c r="V50" s="14" t="n"/>
      <c r="W50" s="14" t="n"/>
    </row>
    <row r="51">
      <c r="A51" s="14" t="n"/>
      <c r="B51" s="14" t="n"/>
      <c r="C51" s="14" t="n"/>
      <c r="D51" s="15">
        <f>IF(B51=3,"control",IF(B51=4,"experimental",""))</f>
        <v/>
      </c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5">
        <f>IF(IF($B$7="literal",SUMPRODUCT(COUNTIF(F51:O51,'Conversión'!$A$5:$A$8)),COUNTIFS(F51:O51,"&gt;=0",F51:O51,"&lt;=20"))=0,"",IF($B$7="literal",SUMPRODUCT(COUNTIF(F51:O51,'Conversión'!$A$5:$A$8)),COUNTIFS(F51:O51,"&gt;=0",F51:O51,"&lt;=20")))</f>
        <v/>
      </c>
      <c r="Q51" s="15">
        <f>IF(P51="","",IF($B$7="literal",SUMPRODUCT(COUNTIF(F51:O51,'Conversión'!$A$5:$A$8)*'Conversión'!$B$5:$B$8),SUMIFS(F51:O51,F51:O51,"&gt;=0",F51:O51,"&lt;=20")))</f>
        <v/>
      </c>
      <c r="R51" s="15">
        <f>IF(P51="","",ROUND(Q51/P51,2))</f>
        <v/>
      </c>
      <c r="S51" s="14" t="n"/>
      <c r="T51" s="14" t="n"/>
      <c r="U51" s="14" t="n"/>
      <c r="V51" s="14" t="n"/>
      <c r="W51" s="14" t="n"/>
    </row>
    <row r="52">
      <c r="A52" s="14" t="n"/>
      <c r="B52" s="14" t="n"/>
      <c r="C52" s="14" t="n"/>
      <c r="D52" s="15">
        <f>IF(B52=3,"control",IF(B52=4,"experimental",""))</f>
        <v/>
      </c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5">
        <f>IF(IF($B$7="literal",SUMPRODUCT(COUNTIF(F52:O52,'Conversión'!$A$5:$A$8)),COUNTIFS(F52:O52,"&gt;=0",F52:O52,"&lt;=20"))=0,"",IF($B$7="literal",SUMPRODUCT(COUNTIF(F52:O52,'Conversión'!$A$5:$A$8)),COUNTIFS(F52:O52,"&gt;=0",F52:O52,"&lt;=20")))</f>
        <v/>
      </c>
      <c r="Q52" s="15">
        <f>IF(P52="","",IF($B$7="literal",SUMPRODUCT(COUNTIF(F52:O52,'Conversión'!$A$5:$A$8)*'Conversión'!$B$5:$B$8),SUMIFS(F52:O52,F52:O52,"&gt;=0",F52:O52,"&lt;=20")))</f>
        <v/>
      </c>
      <c r="R52" s="15">
        <f>IF(P52="","",ROUND(Q52/P52,2))</f>
        <v/>
      </c>
      <c r="S52" s="14" t="n"/>
      <c r="T52" s="14" t="n"/>
      <c r="U52" s="14" t="n"/>
      <c r="V52" s="14" t="n"/>
      <c r="W52" s="14" t="n"/>
    </row>
    <row r="53">
      <c r="A53" s="14" t="n"/>
      <c r="B53" s="14" t="n"/>
      <c r="C53" s="14" t="n"/>
      <c r="D53" s="15">
        <f>IF(B53=3,"control",IF(B53=4,"experimental",""))</f>
        <v/>
      </c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5">
        <f>IF(IF($B$7="literal",SUMPRODUCT(COUNTIF(F53:O53,'Conversión'!$A$5:$A$8)),COUNTIFS(F53:O53,"&gt;=0",F53:O53,"&lt;=20"))=0,"",IF($B$7="literal",SUMPRODUCT(COUNTIF(F53:O53,'Conversión'!$A$5:$A$8)),COUNTIFS(F53:O53,"&gt;=0",F53:O53,"&lt;=20")))</f>
        <v/>
      </c>
      <c r="Q53" s="15">
        <f>IF(P53="","",IF($B$7="literal",SUMPRODUCT(COUNTIF(F53:O53,'Conversión'!$A$5:$A$8)*'Conversión'!$B$5:$B$8),SUMIFS(F53:O53,F53:O53,"&gt;=0",F53:O53,"&lt;=20")))</f>
        <v/>
      </c>
      <c r="R53" s="15">
        <f>IF(P53="","",ROUND(Q53/P53,2))</f>
        <v/>
      </c>
      <c r="S53" s="14" t="n"/>
      <c r="T53" s="14" t="n"/>
      <c r="U53" s="14" t="n"/>
      <c r="V53" s="14" t="n"/>
      <c r="W53" s="14" t="n"/>
    </row>
    <row r="54">
      <c r="A54" s="14" t="n"/>
      <c r="B54" s="14" t="n"/>
      <c r="C54" s="14" t="n"/>
      <c r="D54" s="15">
        <f>IF(B54=3,"control",IF(B54=4,"experimental",""))</f>
        <v/>
      </c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5">
        <f>IF(IF($B$7="literal",SUMPRODUCT(COUNTIF(F54:O54,'Conversión'!$A$5:$A$8)),COUNTIFS(F54:O54,"&gt;=0",F54:O54,"&lt;=20"))=0,"",IF($B$7="literal",SUMPRODUCT(COUNTIF(F54:O54,'Conversión'!$A$5:$A$8)),COUNTIFS(F54:O54,"&gt;=0",F54:O54,"&lt;=20")))</f>
        <v/>
      </c>
      <c r="Q54" s="15">
        <f>IF(P54="","",IF($B$7="literal",SUMPRODUCT(COUNTIF(F54:O54,'Conversión'!$A$5:$A$8)*'Conversión'!$B$5:$B$8),SUMIFS(F54:O54,F54:O54,"&gt;=0",F54:O54,"&lt;=20")))</f>
        <v/>
      </c>
      <c r="R54" s="15">
        <f>IF(P54="","",ROUND(Q54/P54,2))</f>
        <v/>
      </c>
      <c r="S54" s="14" t="n"/>
      <c r="T54" s="14" t="n"/>
      <c r="U54" s="14" t="n"/>
      <c r="V54" s="14" t="n"/>
      <c r="W54" s="14" t="n"/>
    </row>
    <row r="55">
      <c r="A55" s="14" t="n"/>
      <c r="B55" s="14" t="n"/>
      <c r="C55" s="14" t="n"/>
      <c r="D55" s="15">
        <f>IF(B55=3,"control",IF(B55=4,"experimental",""))</f>
        <v/>
      </c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5">
        <f>IF(IF($B$7="literal",SUMPRODUCT(COUNTIF(F55:O55,'Conversión'!$A$5:$A$8)),COUNTIFS(F55:O55,"&gt;=0",F55:O55,"&lt;=20"))=0,"",IF($B$7="literal",SUMPRODUCT(COUNTIF(F55:O55,'Conversión'!$A$5:$A$8)),COUNTIFS(F55:O55,"&gt;=0",F55:O55,"&lt;=20")))</f>
        <v/>
      </c>
      <c r="Q55" s="15">
        <f>IF(P55="","",IF($B$7="literal",SUMPRODUCT(COUNTIF(F55:O55,'Conversión'!$A$5:$A$8)*'Conversión'!$B$5:$B$8),SUMIFS(F55:O55,F55:O55,"&gt;=0",F55:O55,"&lt;=20")))</f>
        <v/>
      </c>
      <c r="R55" s="15">
        <f>IF(P55="","",ROUND(Q55/P55,2))</f>
        <v/>
      </c>
      <c r="S55" s="14" t="n"/>
      <c r="T55" s="14" t="n"/>
      <c r="U55" s="14" t="n"/>
      <c r="V55" s="14" t="n"/>
      <c r="W55" s="14" t="n"/>
    </row>
    <row r="56">
      <c r="A56" s="14" t="n"/>
      <c r="B56" s="14" t="n"/>
      <c r="C56" s="14" t="n"/>
      <c r="D56" s="15">
        <f>IF(B56=3,"control",IF(B56=4,"experimental",""))</f>
        <v/>
      </c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5">
        <f>IF(IF($B$7="literal",SUMPRODUCT(COUNTIF(F56:O56,'Conversión'!$A$5:$A$8)),COUNTIFS(F56:O56,"&gt;=0",F56:O56,"&lt;=20"))=0,"",IF($B$7="literal",SUMPRODUCT(COUNTIF(F56:O56,'Conversión'!$A$5:$A$8)),COUNTIFS(F56:O56,"&gt;=0",F56:O56,"&lt;=20")))</f>
        <v/>
      </c>
      <c r="Q56" s="15">
        <f>IF(P56="","",IF($B$7="literal",SUMPRODUCT(COUNTIF(F56:O56,'Conversión'!$A$5:$A$8)*'Conversión'!$B$5:$B$8),SUMIFS(F56:O56,F56:O56,"&gt;=0",F56:O56,"&lt;=20")))</f>
        <v/>
      </c>
      <c r="R56" s="15">
        <f>IF(P56="","",ROUND(Q56/P56,2))</f>
        <v/>
      </c>
      <c r="S56" s="14" t="n"/>
      <c r="T56" s="14" t="n"/>
      <c r="U56" s="14" t="n"/>
      <c r="V56" s="14" t="n"/>
      <c r="W56" s="14" t="n"/>
    </row>
    <row r="57">
      <c r="A57" s="14" t="n"/>
      <c r="B57" s="14" t="n"/>
      <c r="C57" s="14" t="n"/>
      <c r="D57" s="15">
        <f>IF(B57=3,"control",IF(B57=4,"experimental",""))</f>
        <v/>
      </c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5">
        <f>IF(IF($B$7="literal",SUMPRODUCT(COUNTIF(F57:O57,'Conversión'!$A$5:$A$8)),COUNTIFS(F57:O57,"&gt;=0",F57:O57,"&lt;=20"))=0,"",IF($B$7="literal",SUMPRODUCT(COUNTIF(F57:O57,'Conversión'!$A$5:$A$8)),COUNTIFS(F57:O57,"&gt;=0",F57:O57,"&lt;=20")))</f>
        <v/>
      </c>
      <c r="Q57" s="15">
        <f>IF(P57="","",IF($B$7="literal",SUMPRODUCT(COUNTIF(F57:O57,'Conversión'!$A$5:$A$8)*'Conversión'!$B$5:$B$8),SUMIFS(F57:O57,F57:O57,"&gt;=0",F57:O57,"&lt;=20")))</f>
        <v/>
      </c>
      <c r="R57" s="15">
        <f>IF(P57="","",ROUND(Q57/P57,2))</f>
        <v/>
      </c>
      <c r="S57" s="14" t="n"/>
      <c r="T57" s="14" t="n"/>
      <c r="U57" s="14" t="n"/>
      <c r="V57" s="14" t="n"/>
      <c r="W57" s="14" t="n"/>
    </row>
    <row r="58">
      <c r="A58" s="14" t="n"/>
      <c r="B58" s="14" t="n"/>
      <c r="C58" s="14" t="n"/>
      <c r="D58" s="15">
        <f>IF(B58=3,"control",IF(B58=4,"experimental",""))</f>
        <v/>
      </c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5">
        <f>IF(IF($B$7="literal",SUMPRODUCT(COUNTIF(F58:O58,'Conversión'!$A$5:$A$8)),COUNTIFS(F58:O58,"&gt;=0",F58:O58,"&lt;=20"))=0,"",IF($B$7="literal",SUMPRODUCT(COUNTIF(F58:O58,'Conversión'!$A$5:$A$8)),COUNTIFS(F58:O58,"&gt;=0",F58:O58,"&lt;=20")))</f>
        <v/>
      </c>
      <c r="Q58" s="15">
        <f>IF(P58="","",IF($B$7="literal",SUMPRODUCT(COUNTIF(F58:O58,'Conversión'!$A$5:$A$8)*'Conversión'!$B$5:$B$8),SUMIFS(F58:O58,F58:O58,"&gt;=0",F58:O58,"&lt;=20")))</f>
        <v/>
      </c>
      <c r="R58" s="15">
        <f>IF(P58="","",ROUND(Q58/P58,2))</f>
        <v/>
      </c>
      <c r="S58" s="14" t="n"/>
      <c r="T58" s="14" t="n"/>
      <c r="U58" s="14" t="n"/>
      <c r="V58" s="14" t="n"/>
      <c r="W58" s="14" t="n"/>
    </row>
    <row r="59">
      <c r="A59" s="14" t="n"/>
      <c r="B59" s="14" t="n"/>
      <c r="C59" s="14" t="n"/>
      <c r="D59" s="15">
        <f>IF(B59=3,"control",IF(B59=4,"experimental",""))</f>
        <v/>
      </c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5">
        <f>IF(IF($B$7="literal",SUMPRODUCT(COUNTIF(F59:O59,'Conversión'!$A$5:$A$8)),COUNTIFS(F59:O59,"&gt;=0",F59:O59,"&lt;=20"))=0,"",IF($B$7="literal",SUMPRODUCT(COUNTIF(F59:O59,'Conversión'!$A$5:$A$8)),COUNTIFS(F59:O59,"&gt;=0",F59:O59,"&lt;=20")))</f>
        <v/>
      </c>
      <c r="Q59" s="15">
        <f>IF(P59="","",IF($B$7="literal",SUMPRODUCT(COUNTIF(F59:O59,'Conversión'!$A$5:$A$8)*'Conversión'!$B$5:$B$8),SUMIFS(F59:O59,F59:O59,"&gt;=0",F59:O59,"&lt;=20")))</f>
        <v/>
      </c>
      <c r="R59" s="15">
        <f>IF(P59="","",ROUND(Q59/P59,2))</f>
        <v/>
      </c>
      <c r="S59" s="14" t="n"/>
      <c r="T59" s="14" t="n"/>
      <c r="U59" s="14" t="n"/>
      <c r="V59" s="14" t="n"/>
      <c r="W59" s="14" t="n"/>
    </row>
    <row r="60">
      <c r="A60" s="14" t="n"/>
      <c r="B60" s="14" t="n"/>
      <c r="C60" s="14" t="n"/>
      <c r="D60" s="15">
        <f>IF(B60=3,"control",IF(B60=4,"experimental",""))</f>
        <v/>
      </c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5">
        <f>IF(IF($B$7="literal",SUMPRODUCT(COUNTIF(F60:O60,'Conversión'!$A$5:$A$8)),COUNTIFS(F60:O60,"&gt;=0",F60:O60,"&lt;=20"))=0,"",IF($B$7="literal",SUMPRODUCT(COUNTIF(F60:O60,'Conversión'!$A$5:$A$8)),COUNTIFS(F60:O60,"&gt;=0",F60:O60,"&lt;=20")))</f>
        <v/>
      </c>
      <c r="Q60" s="15">
        <f>IF(P60="","",IF($B$7="literal",SUMPRODUCT(COUNTIF(F60:O60,'Conversión'!$A$5:$A$8)*'Conversión'!$B$5:$B$8),SUMIFS(F60:O60,F60:O60,"&gt;=0",F60:O60,"&lt;=20")))</f>
        <v/>
      </c>
      <c r="R60" s="15">
        <f>IF(P60="","",ROUND(Q60/P60,2))</f>
        <v/>
      </c>
      <c r="S60" s="14" t="n"/>
      <c r="T60" s="14" t="n"/>
      <c r="U60" s="14" t="n"/>
      <c r="V60" s="14" t="n"/>
      <c r="W60" s="14" t="n"/>
    </row>
    <row r="61">
      <c r="A61" s="14" t="n"/>
      <c r="B61" s="14" t="n"/>
      <c r="C61" s="14" t="n"/>
      <c r="D61" s="15">
        <f>IF(B61=3,"control",IF(B61=4,"experimental",""))</f>
        <v/>
      </c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5">
        <f>IF(IF($B$7="literal",SUMPRODUCT(COUNTIF(F61:O61,'Conversión'!$A$5:$A$8)),COUNTIFS(F61:O61,"&gt;=0",F61:O61,"&lt;=20"))=0,"",IF($B$7="literal",SUMPRODUCT(COUNTIF(F61:O61,'Conversión'!$A$5:$A$8)),COUNTIFS(F61:O61,"&gt;=0",F61:O61,"&lt;=20")))</f>
        <v/>
      </c>
      <c r="Q61" s="15">
        <f>IF(P61="","",IF($B$7="literal",SUMPRODUCT(COUNTIF(F61:O61,'Conversión'!$A$5:$A$8)*'Conversión'!$B$5:$B$8),SUMIFS(F61:O61,F61:O61,"&gt;=0",F61:O61,"&lt;=20")))</f>
        <v/>
      </c>
      <c r="R61" s="15">
        <f>IF(P61="","",ROUND(Q61/P61,2))</f>
        <v/>
      </c>
      <c r="S61" s="14" t="n"/>
      <c r="T61" s="14" t="n"/>
      <c r="U61" s="14" t="n"/>
      <c r="V61" s="14" t="n"/>
      <c r="W61" s="14" t="n"/>
    </row>
    <row r="62">
      <c r="A62" s="14" t="n"/>
      <c r="B62" s="14" t="n"/>
      <c r="C62" s="14" t="n"/>
      <c r="D62" s="15">
        <f>IF(B62=3,"control",IF(B62=4,"experimental",""))</f>
        <v/>
      </c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5">
        <f>IF(IF($B$7="literal",SUMPRODUCT(COUNTIF(F62:O62,'Conversión'!$A$5:$A$8)),COUNTIFS(F62:O62,"&gt;=0",F62:O62,"&lt;=20"))=0,"",IF($B$7="literal",SUMPRODUCT(COUNTIF(F62:O62,'Conversión'!$A$5:$A$8)),COUNTIFS(F62:O62,"&gt;=0",F62:O62,"&lt;=20")))</f>
        <v/>
      </c>
      <c r="Q62" s="15">
        <f>IF(P62="","",IF($B$7="literal",SUMPRODUCT(COUNTIF(F62:O62,'Conversión'!$A$5:$A$8)*'Conversión'!$B$5:$B$8),SUMIFS(F62:O62,F62:O62,"&gt;=0",F62:O62,"&lt;=20")))</f>
        <v/>
      </c>
      <c r="R62" s="15">
        <f>IF(P62="","",ROUND(Q62/P62,2))</f>
        <v/>
      </c>
      <c r="S62" s="14" t="n"/>
      <c r="T62" s="14" t="n"/>
      <c r="U62" s="14" t="n"/>
      <c r="V62" s="14" t="n"/>
      <c r="W62" s="14" t="n"/>
    </row>
    <row r="63">
      <c r="A63" s="14" t="n"/>
      <c r="B63" s="14" t="n"/>
      <c r="C63" s="14" t="n"/>
      <c r="D63" s="15">
        <f>IF(B63=3,"control",IF(B63=4,"experimental",""))</f>
        <v/>
      </c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5">
        <f>IF(IF($B$7="literal",SUMPRODUCT(COUNTIF(F63:O63,'Conversión'!$A$5:$A$8)),COUNTIFS(F63:O63,"&gt;=0",F63:O63,"&lt;=20"))=0,"",IF($B$7="literal",SUMPRODUCT(COUNTIF(F63:O63,'Conversión'!$A$5:$A$8)),COUNTIFS(F63:O63,"&gt;=0",F63:O63,"&lt;=20")))</f>
        <v/>
      </c>
      <c r="Q63" s="15">
        <f>IF(P63="","",IF($B$7="literal",SUMPRODUCT(COUNTIF(F63:O63,'Conversión'!$A$5:$A$8)*'Conversión'!$B$5:$B$8),SUMIFS(F63:O63,F63:O63,"&gt;=0",F63:O63,"&lt;=20")))</f>
        <v/>
      </c>
      <c r="R63" s="15">
        <f>IF(P63="","",ROUND(Q63/P63,2))</f>
        <v/>
      </c>
      <c r="S63" s="14" t="n"/>
      <c r="T63" s="14" t="n"/>
      <c r="U63" s="14" t="n"/>
      <c r="V63" s="14" t="n"/>
      <c r="W63" s="14" t="n"/>
    </row>
    <row r="64">
      <c r="A64" s="14" t="n"/>
      <c r="B64" s="14" t="n"/>
      <c r="C64" s="14" t="n"/>
      <c r="D64" s="15">
        <f>IF(B64=3,"control",IF(B64=4,"experimental",""))</f>
        <v/>
      </c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5">
        <f>IF(IF($B$7="literal",SUMPRODUCT(COUNTIF(F64:O64,'Conversión'!$A$5:$A$8)),COUNTIFS(F64:O64,"&gt;=0",F64:O64,"&lt;=20"))=0,"",IF($B$7="literal",SUMPRODUCT(COUNTIF(F64:O64,'Conversión'!$A$5:$A$8)),COUNTIFS(F64:O64,"&gt;=0",F64:O64,"&lt;=20")))</f>
        <v/>
      </c>
      <c r="Q64" s="15">
        <f>IF(P64="","",IF($B$7="literal",SUMPRODUCT(COUNTIF(F64:O64,'Conversión'!$A$5:$A$8)*'Conversión'!$B$5:$B$8),SUMIFS(F64:O64,F64:O64,"&gt;=0",F64:O64,"&lt;=20")))</f>
        <v/>
      </c>
      <c r="R64" s="15">
        <f>IF(P64="","",ROUND(Q64/P64,2))</f>
        <v/>
      </c>
      <c r="S64" s="14" t="n"/>
      <c r="T64" s="14" t="n"/>
      <c r="U64" s="14" t="n"/>
      <c r="V64" s="14" t="n"/>
      <c r="W64" s="14" t="n"/>
    </row>
    <row r="65">
      <c r="A65" s="14" t="n"/>
      <c r="B65" s="14" t="n"/>
      <c r="C65" s="14" t="n"/>
      <c r="D65" s="15">
        <f>IF(B65=3,"control",IF(B65=4,"experimental",""))</f>
        <v/>
      </c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5">
        <f>IF(IF($B$7="literal",SUMPRODUCT(COUNTIF(F65:O65,'Conversión'!$A$5:$A$8)),COUNTIFS(F65:O65,"&gt;=0",F65:O65,"&lt;=20"))=0,"",IF($B$7="literal",SUMPRODUCT(COUNTIF(F65:O65,'Conversión'!$A$5:$A$8)),COUNTIFS(F65:O65,"&gt;=0",F65:O65,"&lt;=20")))</f>
        <v/>
      </c>
      <c r="Q65" s="15">
        <f>IF(P65="","",IF($B$7="literal",SUMPRODUCT(COUNTIF(F65:O65,'Conversión'!$A$5:$A$8)*'Conversión'!$B$5:$B$8),SUMIFS(F65:O65,F65:O65,"&gt;=0",F65:O65,"&lt;=20")))</f>
        <v/>
      </c>
      <c r="R65" s="15">
        <f>IF(P65="","",ROUND(Q65/P65,2))</f>
        <v/>
      </c>
      <c r="S65" s="14" t="n"/>
      <c r="T65" s="14" t="n"/>
      <c r="U65" s="14" t="n"/>
      <c r="V65" s="14" t="n"/>
      <c r="W65" s="14" t="n"/>
    </row>
    <row r="66">
      <c r="A66" s="14" t="n"/>
      <c r="B66" s="14" t="n"/>
      <c r="C66" s="14" t="n"/>
      <c r="D66" s="15">
        <f>IF(B66=3,"control",IF(B66=4,"experimental",""))</f>
        <v/>
      </c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5">
        <f>IF(IF($B$7="literal",SUMPRODUCT(COUNTIF(F66:O66,'Conversión'!$A$5:$A$8)),COUNTIFS(F66:O66,"&gt;=0",F66:O66,"&lt;=20"))=0,"",IF($B$7="literal",SUMPRODUCT(COUNTIF(F66:O66,'Conversión'!$A$5:$A$8)),COUNTIFS(F66:O66,"&gt;=0",F66:O66,"&lt;=20")))</f>
        <v/>
      </c>
      <c r="Q66" s="15">
        <f>IF(P66="","",IF($B$7="literal",SUMPRODUCT(COUNTIF(F66:O66,'Conversión'!$A$5:$A$8)*'Conversión'!$B$5:$B$8),SUMIFS(F66:O66,F66:O66,"&gt;=0",F66:O66,"&lt;=20")))</f>
        <v/>
      </c>
      <c r="R66" s="15">
        <f>IF(P66="","",ROUND(Q66/P66,2))</f>
        <v/>
      </c>
      <c r="S66" s="14" t="n"/>
      <c r="T66" s="14" t="n"/>
      <c r="U66" s="14" t="n"/>
      <c r="V66" s="14" t="n"/>
      <c r="W66" s="14" t="n"/>
    </row>
    <row r="67">
      <c r="A67" s="14" t="n"/>
      <c r="B67" s="14" t="n"/>
      <c r="C67" s="14" t="n"/>
      <c r="D67" s="15">
        <f>IF(B67=3,"control",IF(B67=4,"experimental",""))</f>
        <v/>
      </c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5">
        <f>IF(IF($B$7="literal",SUMPRODUCT(COUNTIF(F67:O67,'Conversión'!$A$5:$A$8)),COUNTIFS(F67:O67,"&gt;=0",F67:O67,"&lt;=20"))=0,"",IF($B$7="literal",SUMPRODUCT(COUNTIF(F67:O67,'Conversión'!$A$5:$A$8)),COUNTIFS(F67:O67,"&gt;=0",F67:O67,"&lt;=20")))</f>
        <v/>
      </c>
      <c r="Q67" s="15">
        <f>IF(P67="","",IF($B$7="literal",SUMPRODUCT(COUNTIF(F67:O67,'Conversión'!$A$5:$A$8)*'Conversión'!$B$5:$B$8),SUMIFS(F67:O67,F67:O67,"&gt;=0",F67:O67,"&lt;=20")))</f>
        <v/>
      </c>
      <c r="R67" s="15">
        <f>IF(P67="","",ROUND(Q67/P67,2))</f>
        <v/>
      </c>
      <c r="S67" s="14" t="n"/>
      <c r="T67" s="14" t="n"/>
      <c r="U67" s="14" t="n"/>
      <c r="V67" s="14" t="n"/>
      <c r="W67" s="14" t="n"/>
    </row>
    <row r="68">
      <c r="A68" s="14" t="n"/>
      <c r="B68" s="14" t="n"/>
      <c r="C68" s="14" t="n"/>
      <c r="D68" s="15">
        <f>IF(B68=3,"control",IF(B68=4,"experimental",""))</f>
        <v/>
      </c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5">
        <f>IF(IF($B$7="literal",SUMPRODUCT(COUNTIF(F68:O68,'Conversión'!$A$5:$A$8)),COUNTIFS(F68:O68,"&gt;=0",F68:O68,"&lt;=20"))=0,"",IF($B$7="literal",SUMPRODUCT(COUNTIF(F68:O68,'Conversión'!$A$5:$A$8)),COUNTIFS(F68:O68,"&gt;=0",F68:O68,"&lt;=20")))</f>
        <v/>
      </c>
      <c r="Q68" s="15">
        <f>IF(P68="","",IF($B$7="literal",SUMPRODUCT(COUNTIF(F68:O68,'Conversión'!$A$5:$A$8)*'Conversión'!$B$5:$B$8),SUMIFS(F68:O68,F68:O68,"&gt;=0",F68:O68,"&lt;=20")))</f>
        <v/>
      </c>
      <c r="R68" s="15">
        <f>IF(P68="","",ROUND(Q68/P68,2))</f>
        <v/>
      </c>
      <c r="S68" s="14" t="n"/>
      <c r="T68" s="14" t="n"/>
      <c r="U68" s="14" t="n"/>
      <c r="V68" s="14" t="n"/>
      <c r="W68" s="14" t="n"/>
    </row>
    <row r="69">
      <c r="A69" s="14" t="n"/>
      <c r="B69" s="14" t="n"/>
      <c r="C69" s="14" t="n"/>
      <c r="D69" s="15">
        <f>IF(B69=3,"control",IF(B69=4,"experimental",""))</f>
        <v/>
      </c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5">
        <f>IF(IF($B$7="literal",SUMPRODUCT(COUNTIF(F69:O69,'Conversión'!$A$5:$A$8)),COUNTIFS(F69:O69,"&gt;=0",F69:O69,"&lt;=20"))=0,"",IF($B$7="literal",SUMPRODUCT(COUNTIF(F69:O69,'Conversión'!$A$5:$A$8)),COUNTIFS(F69:O69,"&gt;=0",F69:O69,"&lt;=20")))</f>
        <v/>
      </c>
      <c r="Q69" s="15">
        <f>IF(P69="","",IF($B$7="literal",SUMPRODUCT(COUNTIF(F69:O69,'Conversión'!$A$5:$A$8)*'Conversión'!$B$5:$B$8),SUMIFS(F69:O69,F69:O69,"&gt;=0",F69:O69,"&lt;=20")))</f>
        <v/>
      </c>
      <c r="R69" s="15">
        <f>IF(P69="","",ROUND(Q69/P69,2))</f>
        <v/>
      </c>
      <c r="S69" s="14" t="n"/>
      <c r="T69" s="14" t="n"/>
      <c r="U69" s="14" t="n"/>
      <c r="V69" s="14" t="n"/>
      <c r="W69" s="14" t="n"/>
    </row>
    <row r="70">
      <c r="A70" s="14" t="n"/>
      <c r="B70" s="14" t="n"/>
      <c r="C70" s="14" t="n"/>
      <c r="D70" s="15">
        <f>IF(B70=3,"control",IF(B70=4,"experimental",""))</f>
        <v/>
      </c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5">
        <f>IF(IF($B$7="literal",SUMPRODUCT(COUNTIF(F70:O70,'Conversión'!$A$5:$A$8)),COUNTIFS(F70:O70,"&gt;=0",F70:O70,"&lt;=20"))=0,"",IF($B$7="literal",SUMPRODUCT(COUNTIF(F70:O70,'Conversión'!$A$5:$A$8)),COUNTIFS(F70:O70,"&gt;=0",F70:O70,"&lt;=20")))</f>
        <v/>
      </c>
      <c r="Q70" s="15">
        <f>IF(P70="","",IF($B$7="literal",SUMPRODUCT(COUNTIF(F70:O70,'Conversión'!$A$5:$A$8)*'Conversión'!$B$5:$B$8),SUMIFS(F70:O70,F70:O70,"&gt;=0",F70:O70,"&lt;=20")))</f>
        <v/>
      </c>
      <c r="R70" s="15">
        <f>IF(P70="","",ROUND(Q70/P70,2))</f>
        <v/>
      </c>
      <c r="S70" s="14" t="n"/>
      <c r="T70" s="14" t="n"/>
      <c r="U70" s="14" t="n"/>
      <c r="V70" s="14" t="n"/>
      <c r="W70" s="14" t="n"/>
    </row>
    <row r="71">
      <c r="A71" s="14" t="n"/>
      <c r="B71" s="14" t="n"/>
      <c r="C71" s="14" t="n"/>
      <c r="D71" s="15">
        <f>IF(B71=3,"control",IF(B71=4,"experimental",""))</f>
        <v/>
      </c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5">
        <f>IF(IF($B$7="literal",SUMPRODUCT(COUNTIF(F71:O71,'Conversión'!$A$5:$A$8)),COUNTIFS(F71:O71,"&gt;=0",F71:O71,"&lt;=20"))=0,"",IF($B$7="literal",SUMPRODUCT(COUNTIF(F71:O71,'Conversión'!$A$5:$A$8)),COUNTIFS(F71:O71,"&gt;=0",F71:O71,"&lt;=20")))</f>
        <v/>
      </c>
      <c r="Q71" s="15">
        <f>IF(P71="","",IF($B$7="literal",SUMPRODUCT(COUNTIF(F71:O71,'Conversión'!$A$5:$A$8)*'Conversión'!$B$5:$B$8),SUMIFS(F71:O71,F71:O71,"&gt;=0",F71:O71,"&lt;=20")))</f>
        <v/>
      </c>
      <c r="R71" s="15">
        <f>IF(P71="","",ROUND(Q71/P71,2))</f>
        <v/>
      </c>
      <c r="S71" s="14" t="n"/>
      <c r="T71" s="14" t="n"/>
      <c r="U71" s="14" t="n"/>
      <c r="V71" s="14" t="n"/>
      <c r="W71" s="14" t="n"/>
    </row>
    <row r="72">
      <c r="A72" s="14" t="n"/>
      <c r="B72" s="14" t="n"/>
      <c r="C72" s="14" t="n"/>
      <c r="D72" s="15">
        <f>IF(B72=3,"control",IF(B72=4,"experimental",""))</f>
        <v/>
      </c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5">
        <f>IF(IF($B$7="literal",SUMPRODUCT(COUNTIF(F72:O72,'Conversión'!$A$5:$A$8)),COUNTIFS(F72:O72,"&gt;=0",F72:O72,"&lt;=20"))=0,"",IF($B$7="literal",SUMPRODUCT(COUNTIF(F72:O72,'Conversión'!$A$5:$A$8)),COUNTIFS(F72:O72,"&gt;=0",F72:O72,"&lt;=20")))</f>
        <v/>
      </c>
      <c r="Q72" s="15">
        <f>IF(P72="","",IF($B$7="literal",SUMPRODUCT(COUNTIF(F72:O72,'Conversión'!$A$5:$A$8)*'Conversión'!$B$5:$B$8),SUMIFS(F72:O72,F72:O72,"&gt;=0",F72:O72,"&lt;=20")))</f>
        <v/>
      </c>
      <c r="R72" s="15">
        <f>IF(P72="","",ROUND(Q72/P72,2))</f>
        <v/>
      </c>
      <c r="S72" s="14" t="n"/>
      <c r="T72" s="14" t="n"/>
      <c r="U72" s="14" t="n"/>
      <c r="V72" s="14" t="n"/>
      <c r="W72" s="14" t="n"/>
    </row>
    <row r="73">
      <c r="A73" s="14" t="n"/>
      <c r="B73" s="14" t="n"/>
      <c r="C73" s="14" t="n"/>
      <c r="D73" s="15">
        <f>IF(B73=3,"control",IF(B73=4,"experimental",""))</f>
        <v/>
      </c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5">
        <f>IF(IF($B$7="literal",SUMPRODUCT(COUNTIF(F73:O73,'Conversión'!$A$5:$A$8)),COUNTIFS(F73:O73,"&gt;=0",F73:O73,"&lt;=20"))=0,"",IF($B$7="literal",SUMPRODUCT(COUNTIF(F73:O73,'Conversión'!$A$5:$A$8)),COUNTIFS(F73:O73,"&gt;=0",F73:O73,"&lt;=20")))</f>
        <v/>
      </c>
      <c r="Q73" s="15">
        <f>IF(P73="","",IF($B$7="literal",SUMPRODUCT(COUNTIF(F73:O73,'Conversión'!$A$5:$A$8)*'Conversión'!$B$5:$B$8),SUMIFS(F73:O73,F73:O73,"&gt;=0",F73:O73,"&lt;=20")))</f>
        <v/>
      </c>
      <c r="R73" s="15">
        <f>IF(P73="","",ROUND(Q73/P73,2))</f>
        <v/>
      </c>
      <c r="S73" s="14" t="n"/>
      <c r="T73" s="14" t="n"/>
      <c r="U73" s="14" t="n"/>
      <c r="V73" s="14" t="n"/>
      <c r="W73" s="14" t="n"/>
    </row>
    <row r="74">
      <c r="A74" s="14" t="n"/>
      <c r="B74" s="14" t="n"/>
      <c r="C74" s="14" t="n"/>
      <c r="D74" s="15">
        <f>IF(B74=3,"control",IF(B74=4,"experimental",""))</f>
        <v/>
      </c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5">
        <f>IF(IF($B$7="literal",SUMPRODUCT(COUNTIF(F74:O74,'Conversión'!$A$5:$A$8)),COUNTIFS(F74:O74,"&gt;=0",F74:O74,"&lt;=20"))=0,"",IF($B$7="literal",SUMPRODUCT(COUNTIF(F74:O74,'Conversión'!$A$5:$A$8)),COUNTIFS(F74:O74,"&gt;=0",F74:O74,"&lt;=20")))</f>
        <v/>
      </c>
      <c r="Q74" s="15">
        <f>IF(P74="","",IF($B$7="literal",SUMPRODUCT(COUNTIF(F74:O74,'Conversión'!$A$5:$A$8)*'Conversión'!$B$5:$B$8),SUMIFS(F74:O74,F74:O74,"&gt;=0",F74:O74,"&lt;=20")))</f>
        <v/>
      </c>
      <c r="R74" s="15">
        <f>IF(P74="","",ROUND(Q74/P74,2))</f>
        <v/>
      </c>
      <c r="S74" s="14" t="n"/>
      <c r="T74" s="14" t="n"/>
      <c r="U74" s="14" t="n"/>
      <c r="V74" s="14" t="n"/>
      <c r="W74" s="14" t="n"/>
    </row>
    <row r="75">
      <c r="A75" s="14" t="n"/>
      <c r="B75" s="14" t="n"/>
      <c r="C75" s="14" t="n"/>
      <c r="D75" s="15">
        <f>IF(B75=3,"control",IF(B75=4,"experimental",""))</f>
        <v/>
      </c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5">
        <f>IF(IF($B$7="literal",SUMPRODUCT(COUNTIF(F75:O75,'Conversión'!$A$5:$A$8)),COUNTIFS(F75:O75,"&gt;=0",F75:O75,"&lt;=20"))=0,"",IF($B$7="literal",SUMPRODUCT(COUNTIF(F75:O75,'Conversión'!$A$5:$A$8)),COUNTIFS(F75:O75,"&gt;=0",F75:O75,"&lt;=20")))</f>
        <v/>
      </c>
      <c r="Q75" s="15">
        <f>IF(P75="","",IF($B$7="literal",SUMPRODUCT(COUNTIF(F75:O75,'Conversión'!$A$5:$A$8)*'Conversión'!$B$5:$B$8),SUMIFS(F75:O75,F75:O75,"&gt;=0",F75:O75,"&lt;=20")))</f>
        <v/>
      </c>
      <c r="R75" s="15">
        <f>IF(P75="","",ROUND(Q75/P75,2))</f>
        <v/>
      </c>
      <c r="S75" s="14" t="n"/>
      <c r="T75" s="14" t="n"/>
      <c r="U75" s="14" t="n"/>
      <c r="V75" s="14" t="n"/>
      <c r="W75" s="14" t="n"/>
    </row>
    <row r="76">
      <c r="A76" s="14" t="n"/>
      <c r="B76" s="14" t="n"/>
      <c r="C76" s="14" t="n"/>
      <c r="D76" s="15">
        <f>IF(B76=3,"control",IF(B76=4,"experimental",""))</f>
        <v/>
      </c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5">
        <f>IF(IF($B$7="literal",SUMPRODUCT(COUNTIF(F76:O76,'Conversión'!$A$5:$A$8)),COUNTIFS(F76:O76,"&gt;=0",F76:O76,"&lt;=20"))=0,"",IF($B$7="literal",SUMPRODUCT(COUNTIF(F76:O76,'Conversión'!$A$5:$A$8)),COUNTIFS(F76:O76,"&gt;=0",F76:O76,"&lt;=20")))</f>
        <v/>
      </c>
      <c r="Q76" s="15">
        <f>IF(P76="","",IF($B$7="literal",SUMPRODUCT(COUNTIF(F76:O76,'Conversión'!$A$5:$A$8)*'Conversión'!$B$5:$B$8),SUMIFS(F76:O76,F76:O76,"&gt;=0",F76:O76,"&lt;=20")))</f>
        <v/>
      </c>
      <c r="R76" s="15">
        <f>IF(P76="","",ROUND(Q76/P76,2))</f>
        <v/>
      </c>
      <c r="S76" s="14" t="n"/>
      <c r="T76" s="14" t="n"/>
      <c r="U76" s="14" t="n"/>
      <c r="V76" s="14" t="n"/>
      <c r="W76" s="14" t="n"/>
    </row>
    <row r="77">
      <c r="A77" s="14" t="n"/>
      <c r="B77" s="14" t="n"/>
      <c r="C77" s="14" t="n"/>
      <c r="D77" s="15">
        <f>IF(B77=3,"control",IF(B77=4,"experimental",""))</f>
        <v/>
      </c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5">
        <f>IF(IF($B$7="literal",SUMPRODUCT(COUNTIF(F77:O77,'Conversión'!$A$5:$A$8)),COUNTIFS(F77:O77,"&gt;=0",F77:O77,"&lt;=20"))=0,"",IF($B$7="literal",SUMPRODUCT(COUNTIF(F77:O77,'Conversión'!$A$5:$A$8)),COUNTIFS(F77:O77,"&gt;=0",F77:O77,"&lt;=20")))</f>
        <v/>
      </c>
      <c r="Q77" s="15">
        <f>IF(P77="","",IF($B$7="literal",SUMPRODUCT(COUNTIF(F77:O77,'Conversión'!$A$5:$A$8)*'Conversión'!$B$5:$B$8),SUMIFS(F77:O77,F77:O77,"&gt;=0",F77:O77,"&lt;=20")))</f>
        <v/>
      </c>
      <c r="R77" s="15">
        <f>IF(P77="","",ROUND(Q77/P77,2))</f>
        <v/>
      </c>
      <c r="S77" s="14" t="n"/>
      <c r="T77" s="14" t="n"/>
      <c r="U77" s="14" t="n"/>
      <c r="V77" s="14" t="n"/>
      <c r="W77" s="14" t="n"/>
    </row>
    <row r="78">
      <c r="A78" s="14" t="n"/>
      <c r="B78" s="14" t="n"/>
      <c r="C78" s="14" t="n"/>
      <c r="D78" s="15">
        <f>IF(B78=3,"control",IF(B78=4,"experimental",""))</f>
        <v/>
      </c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5">
        <f>IF(IF($B$7="literal",SUMPRODUCT(COUNTIF(F78:O78,'Conversión'!$A$5:$A$8)),COUNTIFS(F78:O78,"&gt;=0",F78:O78,"&lt;=20"))=0,"",IF($B$7="literal",SUMPRODUCT(COUNTIF(F78:O78,'Conversión'!$A$5:$A$8)),COUNTIFS(F78:O78,"&gt;=0",F78:O78,"&lt;=20")))</f>
        <v/>
      </c>
      <c r="Q78" s="15">
        <f>IF(P78="","",IF($B$7="literal",SUMPRODUCT(COUNTIF(F78:O78,'Conversión'!$A$5:$A$8)*'Conversión'!$B$5:$B$8),SUMIFS(F78:O78,F78:O78,"&gt;=0",F78:O78,"&lt;=20")))</f>
        <v/>
      </c>
      <c r="R78" s="15">
        <f>IF(P78="","",ROUND(Q78/P78,2))</f>
        <v/>
      </c>
      <c r="S78" s="14" t="n"/>
      <c r="T78" s="14" t="n"/>
      <c r="U78" s="14" t="n"/>
      <c r="V78" s="14" t="n"/>
      <c r="W78" s="14" t="n"/>
    </row>
    <row r="79">
      <c r="A79" s="14" t="n"/>
      <c r="B79" s="14" t="n"/>
      <c r="C79" s="14" t="n"/>
      <c r="D79" s="15">
        <f>IF(B79=3,"control",IF(B79=4,"experimental",""))</f>
        <v/>
      </c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5">
        <f>IF(IF($B$7="literal",SUMPRODUCT(COUNTIF(F79:O79,'Conversión'!$A$5:$A$8)),COUNTIFS(F79:O79,"&gt;=0",F79:O79,"&lt;=20"))=0,"",IF($B$7="literal",SUMPRODUCT(COUNTIF(F79:O79,'Conversión'!$A$5:$A$8)),COUNTIFS(F79:O79,"&gt;=0",F79:O79,"&lt;=20")))</f>
        <v/>
      </c>
      <c r="Q79" s="15">
        <f>IF(P79="","",IF($B$7="literal",SUMPRODUCT(COUNTIF(F79:O79,'Conversión'!$A$5:$A$8)*'Conversión'!$B$5:$B$8),SUMIFS(F79:O79,F79:O79,"&gt;=0",F79:O79,"&lt;=20")))</f>
        <v/>
      </c>
      <c r="R79" s="15">
        <f>IF(P79="","",ROUND(Q79/P79,2))</f>
        <v/>
      </c>
      <c r="S79" s="14" t="n"/>
      <c r="T79" s="14" t="n"/>
      <c r="U79" s="14" t="n"/>
      <c r="V79" s="14" t="n"/>
      <c r="W79" s="14" t="n"/>
    </row>
    <row r="80">
      <c r="A80" s="14" t="n"/>
      <c r="B80" s="14" t="n"/>
      <c r="C80" s="14" t="n"/>
      <c r="D80" s="15">
        <f>IF(B80=3,"control",IF(B80=4,"experimental",""))</f>
        <v/>
      </c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5">
        <f>IF(IF($B$7="literal",SUMPRODUCT(COUNTIF(F80:O80,'Conversión'!$A$5:$A$8)),COUNTIFS(F80:O80,"&gt;=0",F80:O80,"&lt;=20"))=0,"",IF($B$7="literal",SUMPRODUCT(COUNTIF(F80:O80,'Conversión'!$A$5:$A$8)),COUNTIFS(F80:O80,"&gt;=0",F80:O80,"&lt;=20")))</f>
        <v/>
      </c>
      <c r="Q80" s="15">
        <f>IF(P80="","",IF($B$7="literal",SUMPRODUCT(COUNTIF(F80:O80,'Conversión'!$A$5:$A$8)*'Conversión'!$B$5:$B$8),SUMIFS(F80:O80,F80:O80,"&gt;=0",F80:O80,"&lt;=20")))</f>
        <v/>
      </c>
      <c r="R80" s="15">
        <f>IF(P80="","",ROUND(Q80/P80,2))</f>
        <v/>
      </c>
      <c r="S80" s="14" t="n"/>
      <c r="T80" s="14" t="n"/>
      <c r="U80" s="14" t="n"/>
      <c r="V80" s="14" t="n"/>
      <c r="W80" s="14" t="n"/>
    </row>
    <row r="81">
      <c r="A81" s="14" t="n"/>
      <c r="B81" s="14" t="n"/>
      <c r="C81" s="14" t="n"/>
      <c r="D81" s="15">
        <f>IF(B81=3,"control",IF(B81=4,"experimental",""))</f>
        <v/>
      </c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5">
        <f>IF(IF($B$7="literal",SUMPRODUCT(COUNTIF(F81:O81,'Conversión'!$A$5:$A$8)),COUNTIFS(F81:O81,"&gt;=0",F81:O81,"&lt;=20"))=0,"",IF($B$7="literal",SUMPRODUCT(COUNTIF(F81:O81,'Conversión'!$A$5:$A$8)),COUNTIFS(F81:O81,"&gt;=0",F81:O81,"&lt;=20")))</f>
        <v/>
      </c>
      <c r="Q81" s="15">
        <f>IF(P81="","",IF($B$7="literal",SUMPRODUCT(COUNTIF(F81:O81,'Conversión'!$A$5:$A$8)*'Conversión'!$B$5:$B$8),SUMIFS(F81:O81,F81:O81,"&gt;=0",F81:O81,"&lt;=20")))</f>
        <v/>
      </c>
      <c r="R81" s="15">
        <f>IF(P81="","",ROUND(Q81/P81,2))</f>
        <v/>
      </c>
      <c r="S81" s="14" t="n"/>
      <c r="T81" s="14" t="n"/>
      <c r="U81" s="14" t="n"/>
      <c r="V81" s="14" t="n"/>
      <c r="W81" s="14" t="n"/>
    </row>
    <row r="82">
      <c r="A82" s="14" t="n"/>
      <c r="B82" s="14" t="n"/>
      <c r="C82" s="14" t="n"/>
      <c r="D82" s="15">
        <f>IF(B82=3,"control",IF(B82=4,"experimental",""))</f>
        <v/>
      </c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5">
        <f>IF(IF($B$7="literal",SUMPRODUCT(COUNTIF(F82:O82,'Conversión'!$A$5:$A$8)),COUNTIFS(F82:O82,"&gt;=0",F82:O82,"&lt;=20"))=0,"",IF($B$7="literal",SUMPRODUCT(COUNTIF(F82:O82,'Conversión'!$A$5:$A$8)),COUNTIFS(F82:O82,"&gt;=0",F82:O82,"&lt;=20")))</f>
        <v/>
      </c>
      <c r="Q82" s="15">
        <f>IF(P82="","",IF($B$7="literal",SUMPRODUCT(COUNTIF(F82:O82,'Conversión'!$A$5:$A$8)*'Conversión'!$B$5:$B$8),SUMIFS(F82:O82,F82:O82,"&gt;=0",F82:O82,"&lt;=20")))</f>
        <v/>
      </c>
      <c r="R82" s="15">
        <f>IF(P82="","",ROUND(Q82/P82,2))</f>
        <v/>
      </c>
      <c r="S82" s="14" t="n"/>
      <c r="T82" s="14" t="n"/>
      <c r="U82" s="14" t="n"/>
      <c r="V82" s="14" t="n"/>
      <c r="W82" s="14" t="n"/>
    </row>
    <row r="83">
      <c r="A83" s="14" t="n"/>
      <c r="B83" s="14" t="n"/>
      <c r="C83" s="14" t="n"/>
      <c r="D83" s="15">
        <f>IF(B83=3,"control",IF(B83=4,"experimental",""))</f>
        <v/>
      </c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5">
        <f>IF(IF($B$7="literal",SUMPRODUCT(COUNTIF(F83:O83,'Conversión'!$A$5:$A$8)),COUNTIFS(F83:O83,"&gt;=0",F83:O83,"&lt;=20"))=0,"",IF($B$7="literal",SUMPRODUCT(COUNTIF(F83:O83,'Conversión'!$A$5:$A$8)),COUNTIFS(F83:O83,"&gt;=0",F83:O83,"&lt;=20")))</f>
        <v/>
      </c>
      <c r="Q83" s="15">
        <f>IF(P83="","",IF($B$7="literal",SUMPRODUCT(COUNTIF(F83:O83,'Conversión'!$A$5:$A$8)*'Conversión'!$B$5:$B$8),SUMIFS(F83:O83,F83:O83,"&gt;=0",F83:O83,"&lt;=20")))</f>
        <v/>
      </c>
      <c r="R83" s="15">
        <f>IF(P83="","",ROUND(Q83/P83,2))</f>
        <v/>
      </c>
      <c r="S83" s="14" t="n"/>
      <c r="T83" s="14" t="n"/>
      <c r="U83" s="14" t="n"/>
      <c r="V83" s="14" t="n"/>
      <c r="W83" s="14" t="n"/>
    </row>
    <row r="84">
      <c r="A84" s="14" t="n"/>
      <c r="B84" s="14" t="n"/>
      <c r="C84" s="14" t="n"/>
      <c r="D84" s="15">
        <f>IF(B84=3,"control",IF(B84=4,"experimental",""))</f>
        <v/>
      </c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5">
        <f>IF(IF($B$7="literal",SUMPRODUCT(COUNTIF(F84:O84,'Conversión'!$A$5:$A$8)),COUNTIFS(F84:O84,"&gt;=0",F84:O84,"&lt;=20"))=0,"",IF($B$7="literal",SUMPRODUCT(COUNTIF(F84:O84,'Conversión'!$A$5:$A$8)),COUNTIFS(F84:O84,"&gt;=0",F84:O84,"&lt;=20")))</f>
        <v/>
      </c>
      <c r="Q84" s="15">
        <f>IF(P84="","",IF($B$7="literal",SUMPRODUCT(COUNTIF(F84:O84,'Conversión'!$A$5:$A$8)*'Conversión'!$B$5:$B$8),SUMIFS(F84:O84,F84:O84,"&gt;=0",F84:O84,"&lt;=20")))</f>
        <v/>
      </c>
      <c r="R84" s="15">
        <f>IF(P84="","",ROUND(Q84/P84,2))</f>
        <v/>
      </c>
      <c r="S84" s="14" t="n"/>
      <c r="T84" s="14" t="n"/>
      <c r="U84" s="14" t="n"/>
      <c r="V84" s="14" t="n"/>
      <c r="W84" s="14" t="n"/>
    </row>
    <row r="85">
      <c r="A85" s="14" t="n"/>
      <c r="B85" s="14" t="n"/>
      <c r="C85" s="14" t="n"/>
      <c r="D85" s="15">
        <f>IF(B85=3,"control",IF(B85=4,"experimental",""))</f>
        <v/>
      </c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5">
        <f>IF(IF($B$7="literal",SUMPRODUCT(COUNTIF(F85:O85,'Conversión'!$A$5:$A$8)),COUNTIFS(F85:O85,"&gt;=0",F85:O85,"&lt;=20"))=0,"",IF($B$7="literal",SUMPRODUCT(COUNTIF(F85:O85,'Conversión'!$A$5:$A$8)),COUNTIFS(F85:O85,"&gt;=0",F85:O85,"&lt;=20")))</f>
        <v/>
      </c>
      <c r="Q85" s="15">
        <f>IF(P85="","",IF($B$7="literal",SUMPRODUCT(COUNTIF(F85:O85,'Conversión'!$A$5:$A$8)*'Conversión'!$B$5:$B$8),SUMIFS(F85:O85,F85:O85,"&gt;=0",F85:O85,"&lt;=20")))</f>
        <v/>
      </c>
      <c r="R85" s="15">
        <f>IF(P85="","",ROUND(Q85/P85,2))</f>
        <v/>
      </c>
      <c r="S85" s="14" t="n"/>
      <c r="T85" s="14" t="n"/>
      <c r="U85" s="14" t="n"/>
      <c r="V85" s="14" t="n"/>
      <c r="W85" s="14" t="n"/>
    </row>
    <row r="86">
      <c r="A86" s="14" t="n"/>
      <c r="B86" s="14" t="n"/>
      <c r="C86" s="14" t="n"/>
      <c r="D86" s="15">
        <f>IF(B86=3,"control",IF(B86=4,"experimental",""))</f>
        <v/>
      </c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5">
        <f>IF(IF($B$7="literal",SUMPRODUCT(COUNTIF(F86:O86,'Conversión'!$A$5:$A$8)),COUNTIFS(F86:O86,"&gt;=0",F86:O86,"&lt;=20"))=0,"",IF($B$7="literal",SUMPRODUCT(COUNTIF(F86:O86,'Conversión'!$A$5:$A$8)),COUNTIFS(F86:O86,"&gt;=0",F86:O86,"&lt;=20")))</f>
        <v/>
      </c>
      <c r="Q86" s="15">
        <f>IF(P86="","",IF($B$7="literal",SUMPRODUCT(COUNTIF(F86:O86,'Conversión'!$A$5:$A$8)*'Conversión'!$B$5:$B$8),SUMIFS(F86:O86,F86:O86,"&gt;=0",F86:O86,"&lt;=20")))</f>
        <v/>
      </c>
      <c r="R86" s="15">
        <f>IF(P86="","",ROUND(Q86/P86,2))</f>
        <v/>
      </c>
      <c r="S86" s="14" t="n"/>
      <c r="T86" s="14" t="n"/>
      <c r="U86" s="14" t="n"/>
      <c r="V86" s="14" t="n"/>
      <c r="W86" s="14" t="n"/>
    </row>
    <row r="87">
      <c r="A87" s="14" t="n"/>
      <c r="B87" s="14" t="n"/>
      <c r="C87" s="14" t="n"/>
      <c r="D87" s="15">
        <f>IF(B87=3,"control",IF(B87=4,"experimental",""))</f>
        <v/>
      </c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5">
        <f>IF(IF($B$7="literal",SUMPRODUCT(COUNTIF(F87:O87,'Conversión'!$A$5:$A$8)),COUNTIFS(F87:O87,"&gt;=0",F87:O87,"&lt;=20"))=0,"",IF($B$7="literal",SUMPRODUCT(COUNTIF(F87:O87,'Conversión'!$A$5:$A$8)),COUNTIFS(F87:O87,"&gt;=0",F87:O87,"&lt;=20")))</f>
        <v/>
      </c>
      <c r="Q87" s="15">
        <f>IF(P87="","",IF($B$7="literal",SUMPRODUCT(COUNTIF(F87:O87,'Conversión'!$A$5:$A$8)*'Conversión'!$B$5:$B$8),SUMIFS(F87:O87,F87:O87,"&gt;=0",F87:O87,"&lt;=20")))</f>
        <v/>
      </c>
      <c r="R87" s="15">
        <f>IF(P87="","",ROUND(Q87/P87,2))</f>
        <v/>
      </c>
      <c r="S87" s="14" t="n"/>
      <c r="T87" s="14" t="n"/>
      <c r="U87" s="14" t="n"/>
      <c r="V87" s="14" t="n"/>
      <c r="W87" s="14" t="n"/>
    </row>
    <row r="88">
      <c r="A88" s="14" t="n"/>
      <c r="B88" s="14" t="n"/>
      <c r="C88" s="14" t="n"/>
      <c r="D88" s="15">
        <f>IF(B88=3,"control",IF(B88=4,"experimental",""))</f>
        <v/>
      </c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5">
        <f>IF(IF($B$7="literal",SUMPRODUCT(COUNTIF(F88:O88,'Conversión'!$A$5:$A$8)),COUNTIFS(F88:O88,"&gt;=0",F88:O88,"&lt;=20"))=0,"",IF($B$7="literal",SUMPRODUCT(COUNTIF(F88:O88,'Conversión'!$A$5:$A$8)),COUNTIFS(F88:O88,"&gt;=0",F88:O88,"&lt;=20")))</f>
        <v/>
      </c>
      <c r="Q88" s="15">
        <f>IF(P88="","",IF($B$7="literal",SUMPRODUCT(COUNTIF(F88:O88,'Conversión'!$A$5:$A$8)*'Conversión'!$B$5:$B$8),SUMIFS(F88:O88,F88:O88,"&gt;=0",F88:O88,"&lt;=20")))</f>
        <v/>
      </c>
      <c r="R88" s="15">
        <f>IF(P88="","",ROUND(Q88/P88,2))</f>
        <v/>
      </c>
      <c r="S88" s="14" t="n"/>
      <c r="T88" s="14" t="n"/>
      <c r="U88" s="14" t="n"/>
      <c r="V88" s="14" t="n"/>
      <c r="W88" s="14" t="n"/>
    </row>
    <row r="89">
      <c r="A89" s="14" t="n"/>
      <c r="B89" s="14" t="n"/>
      <c r="C89" s="14" t="n"/>
      <c r="D89" s="15">
        <f>IF(B89=3,"control",IF(B89=4,"experimental",""))</f>
        <v/>
      </c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5">
        <f>IF(IF($B$7="literal",SUMPRODUCT(COUNTIF(F89:O89,'Conversión'!$A$5:$A$8)),COUNTIFS(F89:O89,"&gt;=0",F89:O89,"&lt;=20"))=0,"",IF($B$7="literal",SUMPRODUCT(COUNTIF(F89:O89,'Conversión'!$A$5:$A$8)),COUNTIFS(F89:O89,"&gt;=0",F89:O89,"&lt;=20")))</f>
        <v/>
      </c>
      <c r="Q89" s="15">
        <f>IF(P89="","",IF($B$7="literal",SUMPRODUCT(COUNTIF(F89:O89,'Conversión'!$A$5:$A$8)*'Conversión'!$B$5:$B$8),SUMIFS(F89:O89,F89:O89,"&gt;=0",F89:O89,"&lt;=20")))</f>
        <v/>
      </c>
      <c r="R89" s="15">
        <f>IF(P89="","",ROUND(Q89/P89,2))</f>
        <v/>
      </c>
      <c r="S89" s="14" t="n"/>
      <c r="T89" s="14" t="n"/>
      <c r="U89" s="14" t="n"/>
      <c r="V89" s="14" t="n"/>
      <c r="W89" s="14" t="n"/>
    </row>
    <row r="90">
      <c r="A90" s="14" t="n"/>
      <c r="B90" s="14" t="n"/>
      <c r="C90" s="14" t="n"/>
      <c r="D90" s="15">
        <f>IF(B90=3,"control",IF(B90=4,"experimental",""))</f>
        <v/>
      </c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5">
        <f>IF(IF($B$7="literal",SUMPRODUCT(COUNTIF(F90:O90,'Conversión'!$A$5:$A$8)),COUNTIFS(F90:O90,"&gt;=0",F90:O90,"&lt;=20"))=0,"",IF($B$7="literal",SUMPRODUCT(COUNTIF(F90:O90,'Conversión'!$A$5:$A$8)),COUNTIFS(F90:O90,"&gt;=0",F90:O90,"&lt;=20")))</f>
        <v/>
      </c>
      <c r="Q90" s="15">
        <f>IF(P90="","",IF($B$7="literal",SUMPRODUCT(COUNTIF(F90:O90,'Conversión'!$A$5:$A$8)*'Conversión'!$B$5:$B$8),SUMIFS(F90:O90,F90:O90,"&gt;=0",F90:O90,"&lt;=20")))</f>
        <v/>
      </c>
      <c r="R90" s="15">
        <f>IF(P90="","",ROUND(Q90/P90,2))</f>
        <v/>
      </c>
      <c r="S90" s="14" t="n"/>
      <c r="T90" s="14" t="n"/>
      <c r="U90" s="14" t="n"/>
      <c r="V90" s="14" t="n"/>
      <c r="W90" s="14" t="n"/>
    </row>
    <row r="91">
      <c r="A91" s="14" t="n"/>
      <c r="B91" s="14" t="n"/>
      <c r="C91" s="14" t="n"/>
      <c r="D91" s="15">
        <f>IF(B91=3,"control",IF(B91=4,"experimental",""))</f>
        <v/>
      </c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5">
        <f>IF(IF($B$7="literal",SUMPRODUCT(COUNTIF(F91:O91,'Conversión'!$A$5:$A$8)),COUNTIFS(F91:O91,"&gt;=0",F91:O91,"&lt;=20"))=0,"",IF($B$7="literal",SUMPRODUCT(COUNTIF(F91:O91,'Conversión'!$A$5:$A$8)),COUNTIFS(F91:O91,"&gt;=0",F91:O91,"&lt;=20")))</f>
        <v/>
      </c>
      <c r="Q91" s="15">
        <f>IF(P91="","",IF($B$7="literal",SUMPRODUCT(COUNTIF(F91:O91,'Conversión'!$A$5:$A$8)*'Conversión'!$B$5:$B$8),SUMIFS(F91:O91,F91:O91,"&gt;=0",F91:O91,"&lt;=20")))</f>
        <v/>
      </c>
      <c r="R91" s="15">
        <f>IF(P91="","",ROUND(Q91/P91,2))</f>
        <v/>
      </c>
      <c r="S91" s="14" t="n"/>
      <c r="T91" s="14" t="n"/>
      <c r="U91" s="14" t="n"/>
      <c r="V91" s="14" t="n"/>
      <c r="W91" s="14" t="n"/>
    </row>
    <row r="92">
      <c r="A92" s="14" t="n"/>
      <c r="B92" s="14" t="n"/>
      <c r="C92" s="14" t="n"/>
      <c r="D92" s="15">
        <f>IF(B92=3,"control",IF(B92=4,"experimental",""))</f>
        <v/>
      </c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5">
        <f>IF(IF($B$7="literal",SUMPRODUCT(COUNTIF(F92:O92,'Conversión'!$A$5:$A$8)),COUNTIFS(F92:O92,"&gt;=0",F92:O92,"&lt;=20"))=0,"",IF($B$7="literal",SUMPRODUCT(COUNTIF(F92:O92,'Conversión'!$A$5:$A$8)),COUNTIFS(F92:O92,"&gt;=0",F92:O92,"&lt;=20")))</f>
        <v/>
      </c>
      <c r="Q92" s="15">
        <f>IF(P92="","",IF($B$7="literal",SUMPRODUCT(COUNTIF(F92:O92,'Conversión'!$A$5:$A$8)*'Conversión'!$B$5:$B$8),SUMIFS(F92:O92,F92:O92,"&gt;=0",F92:O92,"&lt;=20")))</f>
        <v/>
      </c>
      <c r="R92" s="15">
        <f>IF(P92="","",ROUND(Q92/P92,2))</f>
        <v/>
      </c>
      <c r="S92" s="14" t="n"/>
      <c r="T92" s="14" t="n"/>
      <c r="U92" s="14" t="n"/>
      <c r="V92" s="14" t="n"/>
      <c r="W92" s="14" t="n"/>
    </row>
    <row r="93">
      <c r="A93" s="14" t="n"/>
      <c r="B93" s="14" t="n"/>
      <c r="C93" s="14" t="n"/>
      <c r="D93" s="15">
        <f>IF(B93=3,"control",IF(B93=4,"experimental",""))</f>
        <v/>
      </c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5">
        <f>IF(IF($B$7="literal",SUMPRODUCT(COUNTIF(F93:O93,'Conversión'!$A$5:$A$8)),COUNTIFS(F93:O93,"&gt;=0",F93:O93,"&lt;=20"))=0,"",IF($B$7="literal",SUMPRODUCT(COUNTIF(F93:O93,'Conversión'!$A$5:$A$8)),COUNTIFS(F93:O93,"&gt;=0",F93:O93,"&lt;=20")))</f>
        <v/>
      </c>
      <c r="Q93" s="15">
        <f>IF(P93="","",IF($B$7="literal",SUMPRODUCT(COUNTIF(F93:O93,'Conversión'!$A$5:$A$8)*'Conversión'!$B$5:$B$8),SUMIFS(F93:O93,F93:O93,"&gt;=0",F93:O93,"&lt;=20")))</f>
        <v/>
      </c>
      <c r="R93" s="15">
        <f>IF(P93="","",ROUND(Q93/P93,2))</f>
        <v/>
      </c>
      <c r="S93" s="14" t="n"/>
      <c r="T93" s="14" t="n"/>
      <c r="U93" s="14" t="n"/>
      <c r="V93" s="14" t="n"/>
      <c r="W93" s="14" t="n"/>
    </row>
    <row r="94">
      <c r="A94" s="14" t="n"/>
      <c r="B94" s="14" t="n"/>
      <c r="C94" s="14" t="n"/>
      <c r="D94" s="15">
        <f>IF(B94=3,"control",IF(B94=4,"experimental",""))</f>
        <v/>
      </c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5">
        <f>IF(IF($B$7="literal",SUMPRODUCT(COUNTIF(F94:O94,'Conversión'!$A$5:$A$8)),COUNTIFS(F94:O94,"&gt;=0",F94:O94,"&lt;=20"))=0,"",IF($B$7="literal",SUMPRODUCT(COUNTIF(F94:O94,'Conversión'!$A$5:$A$8)),COUNTIFS(F94:O94,"&gt;=0",F94:O94,"&lt;=20")))</f>
        <v/>
      </c>
      <c r="Q94" s="15">
        <f>IF(P94="","",IF($B$7="literal",SUMPRODUCT(COUNTIF(F94:O94,'Conversión'!$A$5:$A$8)*'Conversión'!$B$5:$B$8),SUMIFS(F94:O94,F94:O94,"&gt;=0",F94:O94,"&lt;=20")))</f>
        <v/>
      </c>
      <c r="R94" s="15">
        <f>IF(P94="","",ROUND(Q94/P94,2))</f>
        <v/>
      </c>
      <c r="S94" s="14" t="n"/>
      <c r="T94" s="14" t="n"/>
      <c r="U94" s="14" t="n"/>
      <c r="V94" s="14" t="n"/>
      <c r="W94" s="14" t="n"/>
    </row>
    <row r="95">
      <c r="A95" s="14" t="n"/>
      <c r="B95" s="14" t="n"/>
      <c r="C95" s="14" t="n"/>
      <c r="D95" s="15">
        <f>IF(B95=3,"control",IF(B95=4,"experimental",""))</f>
        <v/>
      </c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5">
        <f>IF(IF($B$7="literal",SUMPRODUCT(COUNTIF(F95:O95,'Conversión'!$A$5:$A$8)),COUNTIFS(F95:O95,"&gt;=0",F95:O95,"&lt;=20"))=0,"",IF($B$7="literal",SUMPRODUCT(COUNTIF(F95:O95,'Conversión'!$A$5:$A$8)),COUNTIFS(F95:O95,"&gt;=0",F95:O95,"&lt;=20")))</f>
        <v/>
      </c>
      <c r="Q95" s="15">
        <f>IF(P95="","",IF($B$7="literal",SUMPRODUCT(COUNTIF(F95:O95,'Conversión'!$A$5:$A$8)*'Conversión'!$B$5:$B$8),SUMIFS(F95:O95,F95:O95,"&gt;=0",F95:O95,"&lt;=20")))</f>
        <v/>
      </c>
      <c r="R95" s="15">
        <f>IF(P95="","",ROUND(Q95/P95,2))</f>
        <v/>
      </c>
      <c r="S95" s="14" t="n"/>
      <c r="T95" s="14" t="n"/>
      <c r="U95" s="14" t="n"/>
      <c r="V95" s="14" t="n"/>
      <c r="W95" s="14" t="n"/>
    </row>
    <row r="96">
      <c r="A96" s="14" t="n"/>
      <c r="B96" s="14" t="n"/>
      <c r="C96" s="14" t="n"/>
      <c r="D96" s="15">
        <f>IF(B96=3,"control",IF(B96=4,"experimental",""))</f>
        <v/>
      </c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5">
        <f>IF(IF($B$7="literal",SUMPRODUCT(COUNTIF(F96:O96,'Conversión'!$A$5:$A$8)),COUNTIFS(F96:O96,"&gt;=0",F96:O96,"&lt;=20"))=0,"",IF($B$7="literal",SUMPRODUCT(COUNTIF(F96:O96,'Conversión'!$A$5:$A$8)),COUNTIFS(F96:O96,"&gt;=0",F96:O96,"&lt;=20")))</f>
        <v/>
      </c>
      <c r="Q96" s="15">
        <f>IF(P96="","",IF($B$7="literal",SUMPRODUCT(COUNTIF(F96:O96,'Conversión'!$A$5:$A$8)*'Conversión'!$B$5:$B$8),SUMIFS(F96:O96,F96:O96,"&gt;=0",F96:O96,"&lt;=20")))</f>
        <v/>
      </c>
      <c r="R96" s="15">
        <f>IF(P96="","",ROUND(Q96/P96,2))</f>
        <v/>
      </c>
      <c r="S96" s="14" t="n"/>
      <c r="T96" s="14" t="n"/>
      <c r="U96" s="14" t="n"/>
      <c r="V96" s="14" t="n"/>
      <c r="W96" s="14" t="n"/>
    </row>
    <row r="97">
      <c r="A97" s="14" t="n"/>
      <c r="B97" s="14" t="n"/>
      <c r="C97" s="14" t="n"/>
      <c r="D97" s="15">
        <f>IF(B97=3,"control",IF(B97=4,"experimental",""))</f>
        <v/>
      </c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5">
        <f>IF(IF($B$7="literal",SUMPRODUCT(COUNTIF(F97:O97,'Conversión'!$A$5:$A$8)),COUNTIFS(F97:O97,"&gt;=0",F97:O97,"&lt;=20"))=0,"",IF($B$7="literal",SUMPRODUCT(COUNTIF(F97:O97,'Conversión'!$A$5:$A$8)),COUNTIFS(F97:O97,"&gt;=0",F97:O97,"&lt;=20")))</f>
        <v/>
      </c>
      <c r="Q97" s="15">
        <f>IF(P97="","",IF($B$7="literal",SUMPRODUCT(COUNTIF(F97:O97,'Conversión'!$A$5:$A$8)*'Conversión'!$B$5:$B$8),SUMIFS(F97:O97,F97:O97,"&gt;=0",F97:O97,"&lt;=20")))</f>
        <v/>
      </c>
      <c r="R97" s="15">
        <f>IF(P97="","",ROUND(Q97/P97,2))</f>
        <v/>
      </c>
      <c r="S97" s="14" t="n"/>
      <c r="T97" s="14" t="n"/>
      <c r="U97" s="14" t="n"/>
      <c r="V97" s="14" t="n"/>
      <c r="W97" s="14" t="n"/>
    </row>
    <row r="98">
      <c r="A98" s="14" t="n"/>
      <c r="B98" s="14" t="n"/>
      <c r="C98" s="14" t="n"/>
      <c r="D98" s="15">
        <f>IF(B98=3,"control",IF(B98=4,"experimental",""))</f>
        <v/>
      </c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5">
        <f>IF(IF($B$7="literal",SUMPRODUCT(COUNTIF(F98:O98,'Conversión'!$A$5:$A$8)),COUNTIFS(F98:O98,"&gt;=0",F98:O98,"&lt;=20"))=0,"",IF($B$7="literal",SUMPRODUCT(COUNTIF(F98:O98,'Conversión'!$A$5:$A$8)),COUNTIFS(F98:O98,"&gt;=0",F98:O98,"&lt;=20")))</f>
        <v/>
      </c>
      <c r="Q98" s="15">
        <f>IF(P98="","",IF($B$7="literal",SUMPRODUCT(COUNTIF(F98:O98,'Conversión'!$A$5:$A$8)*'Conversión'!$B$5:$B$8),SUMIFS(F98:O98,F98:O98,"&gt;=0",F98:O98,"&lt;=20")))</f>
        <v/>
      </c>
      <c r="R98" s="15">
        <f>IF(P98="","",ROUND(Q98/P98,2))</f>
        <v/>
      </c>
      <c r="S98" s="14" t="n"/>
      <c r="T98" s="14" t="n"/>
      <c r="U98" s="14" t="n"/>
      <c r="V98" s="14" t="n"/>
      <c r="W98" s="14" t="n"/>
    </row>
    <row r="99">
      <c r="A99" s="14" t="n"/>
      <c r="B99" s="14" t="n"/>
      <c r="C99" s="14" t="n"/>
      <c r="D99" s="15">
        <f>IF(B99=3,"control",IF(B99=4,"experimental",""))</f>
        <v/>
      </c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5">
        <f>IF(IF($B$7="literal",SUMPRODUCT(COUNTIF(F99:O99,'Conversión'!$A$5:$A$8)),COUNTIFS(F99:O99,"&gt;=0",F99:O99,"&lt;=20"))=0,"",IF($B$7="literal",SUMPRODUCT(COUNTIF(F99:O99,'Conversión'!$A$5:$A$8)),COUNTIFS(F99:O99,"&gt;=0",F99:O99,"&lt;=20")))</f>
        <v/>
      </c>
      <c r="Q99" s="15">
        <f>IF(P99="","",IF($B$7="literal",SUMPRODUCT(COUNTIF(F99:O99,'Conversión'!$A$5:$A$8)*'Conversión'!$B$5:$B$8),SUMIFS(F99:O99,F99:O99,"&gt;=0",F99:O99,"&lt;=20")))</f>
        <v/>
      </c>
      <c r="R99" s="15">
        <f>IF(P99="","",ROUND(Q99/P99,2))</f>
        <v/>
      </c>
      <c r="S99" s="14" t="n"/>
      <c r="T99" s="14" t="n"/>
      <c r="U99" s="14" t="n"/>
      <c r="V99" s="14" t="n"/>
      <c r="W99" s="14" t="n"/>
    </row>
    <row r="100">
      <c r="A100" s="14" t="n"/>
      <c r="B100" s="14" t="n"/>
      <c r="C100" s="14" t="n"/>
      <c r="D100" s="15">
        <f>IF(B100=3,"control",IF(B100=4,"experimental",""))</f>
        <v/>
      </c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5">
        <f>IF(IF($B$7="literal",SUMPRODUCT(COUNTIF(F100:O100,'Conversión'!$A$5:$A$8)),COUNTIFS(F100:O100,"&gt;=0",F100:O100,"&lt;=20"))=0,"",IF($B$7="literal",SUMPRODUCT(COUNTIF(F100:O100,'Conversión'!$A$5:$A$8)),COUNTIFS(F100:O100,"&gt;=0",F100:O100,"&lt;=20")))</f>
        <v/>
      </c>
      <c r="Q100" s="15">
        <f>IF(P100="","",IF($B$7="literal",SUMPRODUCT(COUNTIF(F100:O100,'Conversión'!$A$5:$A$8)*'Conversión'!$B$5:$B$8),SUMIFS(F100:O100,F100:O100,"&gt;=0",F100:O100,"&lt;=20")))</f>
        <v/>
      </c>
      <c r="R100" s="15">
        <f>IF(P100="","",ROUND(Q100/P100,2))</f>
        <v/>
      </c>
      <c r="S100" s="14" t="n"/>
      <c r="T100" s="14" t="n"/>
      <c r="U100" s="14" t="n"/>
      <c r="V100" s="14" t="n"/>
      <c r="W100" s="14" t="n"/>
    </row>
    <row r="101">
      <c r="A101" s="14" t="n"/>
      <c r="B101" s="14" t="n"/>
      <c r="C101" s="14" t="n"/>
      <c r="D101" s="15">
        <f>IF(B101=3,"control",IF(B101=4,"experimental",""))</f>
        <v/>
      </c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5">
        <f>IF(IF($B$7="literal",SUMPRODUCT(COUNTIF(F101:O101,'Conversión'!$A$5:$A$8)),COUNTIFS(F101:O101,"&gt;=0",F101:O101,"&lt;=20"))=0,"",IF($B$7="literal",SUMPRODUCT(COUNTIF(F101:O101,'Conversión'!$A$5:$A$8)),COUNTIFS(F101:O101,"&gt;=0",F101:O101,"&lt;=20")))</f>
        <v/>
      </c>
      <c r="Q101" s="15">
        <f>IF(P101="","",IF($B$7="literal",SUMPRODUCT(COUNTIF(F101:O101,'Conversión'!$A$5:$A$8)*'Conversión'!$B$5:$B$8),SUMIFS(F101:O101,F101:O101,"&gt;=0",F101:O101,"&lt;=20")))</f>
        <v/>
      </c>
      <c r="R101" s="15">
        <f>IF(P101="","",ROUND(Q101/P101,2))</f>
        <v/>
      </c>
      <c r="S101" s="14" t="n"/>
      <c r="T101" s="14" t="n"/>
      <c r="U101" s="14" t="n"/>
      <c r="V101" s="14" t="n"/>
      <c r="W101" s="14" t="n"/>
    </row>
    <row r="102">
      <c r="A102" s="14" t="n"/>
      <c r="B102" s="14" t="n"/>
      <c r="C102" s="14" t="n"/>
      <c r="D102" s="15">
        <f>IF(B102=3,"control",IF(B102=4,"experimental",""))</f>
        <v/>
      </c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5">
        <f>IF(IF($B$7="literal",SUMPRODUCT(COUNTIF(F102:O102,'Conversión'!$A$5:$A$8)),COUNTIFS(F102:O102,"&gt;=0",F102:O102,"&lt;=20"))=0,"",IF($B$7="literal",SUMPRODUCT(COUNTIF(F102:O102,'Conversión'!$A$5:$A$8)),COUNTIFS(F102:O102,"&gt;=0",F102:O102,"&lt;=20")))</f>
        <v/>
      </c>
      <c r="Q102" s="15">
        <f>IF(P102="","",IF($B$7="literal",SUMPRODUCT(COUNTIF(F102:O102,'Conversión'!$A$5:$A$8)*'Conversión'!$B$5:$B$8),SUMIFS(F102:O102,F102:O102,"&gt;=0",F102:O102,"&lt;=20")))</f>
        <v/>
      </c>
      <c r="R102" s="15">
        <f>IF(P102="","",ROUND(Q102/P102,2))</f>
        <v/>
      </c>
      <c r="S102" s="14" t="n"/>
      <c r="T102" s="14" t="n"/>
      <c r="U102" s="14" t="n"/>
      <c r="V102" s="14" t="n"/>
      <c r="W102" s="14" t="n"/>
    </row>
    <row r="103">
      <c r="A103" s="14" t="n"/>
      <c r="B103" s="14" t="n"/>
      <c r="C103" s="14" t="n"/>
      <c r="D103" s="15">
        <f>IF(B103=3,"control",IF(B103=4,"experimental",""))</f>
        <v/>
      </c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5">
        <f>IF(IF($B$7="literal",SUMPRODUCT(COUNTIF(F103:O103,'Conversión'!$A$5:$A$8)),COUNTIFS(F103:O103,"&gt;=0",F103:O103,"&lt;=20"))=0,"",IF($B$7="literal",SUMPRODUCT(COUNTIF(F103:O103,'Conversión'!$A$5:$A$8)),COUNTIFS(F103:O103,"&gt;=0",F103:O103,"&lt;=20")))</f>
        <v/>
      </c>
      <c r="Q103" s="15">
        <f>IF(P103="","",IF($B$7="literal",SUMPRODUCT(COUNTIF(F103:O103,'Conversión'!$A$5:$A$8)*'Conversión'!$B$5:$B$8),SUMIFS(F103:O103,F103:O103,"&gt;=0",F103:O103,"&lt;=20")))</f>
        <v/>
      </c>
      <c r="R103" s="15">
        <f>IF(P103="","",ROUND(Q103/P103,2))</f>
        <v/>
      </c>
      <c r="S103" s="14" t="n"/>
      <c r="T103" s="14" t="n"/>
      <c r="U103" s="14" t="n"/>
      <c r="V103" s="14" t="n"/>
      <c r="W103" s="14" t="n"/>
    </row>
    <row r="104">
      <c r="A104" s="14" t="n"/>
      <c r="B104" s="14" t="n"/>
      <c r="C104" s="14" t="n"/>
      <c r="D104" s="15">
        <f>IF(B104=3,"control",IF(B104=4,"experimental",""))</f>
        <v/>
      </c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5">
        <f>IF(IF($B$7="literal",SUMPRODUCT(COUNTIF(F104:O104,'Conversión'!$A$5:$A$8)),COUNTIFS(F104:O104,"&gt;=0",F104:O104,"&lt;=20"))=0,"",IF($B$7="literal",SUMPRODUCT(COUNTIF(F104:O104,'Conversión'!$A$5:$A$8)),COUNTIFS(F104:O104,"&gt;=0",F104:O104,"&lt;=20")))</f>
        <v/>
      </c>
      <c r="Q104" s="15">
        <f>IF(P104="","",IF($B$7="literal",SUMPRODUCT(COUNTIF(F104:O104,'Conversión'!$A$5:$A$8)*'Conversión'!$B$5:$B$8),SUMIFS(F104:O104,F104:O104,"&gt;=0",F104:O104,"&lt;=20")))</f>
        <v/>
      </c>
      <c r="R104" s="15">
        <f>IF(P104="","",ROUND(Q104/P104,2))</f>
        <v/>
      </c>
      <c r="S104" s="14" t="n"/>
      <c r="T104" s="14" t="n"/>
      <c r="U104" s="14" t="n"/>
      <c r="V104" s="14" t="n"/>
      <c r="W104" s="14" t="n"/>
    </row>
    <row r="105">
      <c r="A105" s="14" t="n"/>
      <c r="B105" s="14" t="n"/>
      <c r="C105" s="14" t="n"/>
      <c r="D105" s="15">
        <f>IF(B105=3,"control",IF(B105=4,"experimental",""))</f>
        <v/>
      </c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5">
        <f>IF(IF($B$7="literal",SUMPRODUCT(COUNTIF(F105:O105,'Conversión'!$A$5:$A$8)),COUNTIFS(F105:O105,"&gt;=0",F105:O105,"&lt;=20"))=0,"",IF($B$7="literal",SUMPRODUCT(COUNTIF(F105:O105,'Conversión'!$A$5:$A$8)),COUNTIFS(F105:O105,"&gt;=0",F105:O105,"&lt;=20")))</f>
        <v/>
      </c>
      <c r="Q105" s="15">
        <f>IF(P105="","",IF($B$7="literal",SUMPRODUCT(COUNTIF(F105:O105,'Conversión'!$A$5:$A$8)*'Conversión'!$B$5:$B$8),SUMIFS(F105:O105,F105:O105,"&gt;=0",F105:O105,"&lt;=20")))</f>
        <v/>
      </c>
      <c r="R105" s="15">
        <f>IF(P105="","",ROUND(Q105/P105,2))</f>
        <v/>
      </c>
      <c r="S105" s="14" t="n"/>
      <c r="T105" s="14" t="n"/>
      <c r="U105" s="14" t="n"/>
      <c r="V105" s="14" t="n"/>
      <c r="W105" s="14" t="n"/>
    </row>
    <row r="106">
      <c r="A106" s="14" t="n"/>
      <c r="B106" s="14" t="n"/>
      <c r="C106" s="14" t="n"/>
      <c r="D106" s="15">
        <f>IF(B106=3,"control",IF(B106=4,"experimental",""))</f>
        <v/>
      </c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5">
        <f>IF(IF($B$7="literal",SUMPRODUCT(COUNTIF(F106:O106,'Conversión'!$A$5:$A$8)),COUNTIFS(F106:O106,"&gt;=0",F106:O106,"&lt;=20"))=0,"",IF($B$7="literal",SUMPRODUCT(COUNTIF(F106:O106,'Conversión'!$A$5:$A$8)),COUNTIFS(F106:O106,"&gt;=0",F106:O106,"&lt;=20")))</f>
        <v/>
      </c>
      <c r="Q106" s="15">
        <f>IF(P106="","",IF($B$7="literal",SUMPRODUCT(COUNTIF(F106:O106,'Conversión'!$A$5:$A$8)*'Conversión'!$B$5:$B$8),SUMIFS(F106:O106,F106:O106,"&gt;=0",F106:O106,"&lt;=20")))</f>
        <v/>
      </c>
      <c r="R106" s="15">
        <f>IF(P106="","",ROUND(Q106/P106,2))</f>
        <v/>
      </c>
      <c r="S106" s="14" t="n"/>
      <c r="T106" s="14" t="n"/>
      <c r="U106" s="14" t="n"/>
      <c r="V106" s="14" t="n"/>
      <c r="W106" s="14" t="n"/>
    </row>
    <row r="107">
      <c r="A107" s="14" t="n"/>
      <c r="B107" s="14" t="n"/>
      <c r="C107" s="14" t="n"/>
      <c r="D107" s="15">
        <f>IF(B107=3,"control",IF(B107=4,"experimental",""))</f>
        <v/>
      </c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5">
        <f>IF(IF($B$7="literal",SUMPRODUCT(COUNTIF(F107:O107,'Conversión'!$A$5:$A$8)),COUNTIFS(F107:O107,"&gt;=0",F107:O107,"&lt;=20"))=0,"",IF($B$7="literal",SUMPRODUCT(COUNTIF(F107:O107,'Conversión'!$A$5:$A$8)),COUNTIFS(F107:O107,"&gt;=0",F107:O107,"&lt;=20")))</f>
        <v/>
      </c>
      <c r="Q107" s="15">
        <f>IF(P107="","",IF($B$7="literal",SUMPRODUCT(COUNTIF(F107:O107,'Conversión'!$A$5:$A$8)*'Conversión'!$B$5:$B$8),SUMIFS(F107:O107,F107:O107,"&gt;=0",F107:O107,"&lt;=20")))</f>
        <v/>
      </c>
      <c r="R107" s="15">
        <f>IF(P107="","",ROUND(Q107/P107,2))</f>
        <v/>
      </c>
      <c r="S107" s="14" t="n"/>
      <c r="T107" s="14" t="n"/>
      <c r="U107" s="14" t="n"/>
      <c r="V107" s="14" t="n"/>
      <c r="W107" s="14" t="n"/>
    </row>
    <row r="108">
      <c r="A108" s="14" t="n"/>
      <c r="B108" s="14" t="n"/>
      <c r="C108" s="14" t="n"/>
      <c r="D108" s="15">
        <f>IF(B108=3,"control",IF(B108=4,"experimental",""))</f>
        <v/>
      </c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5">
        <f>IF(IF($B$7="literal",SUMPRODUCT(COUNTIF(F108:O108,'Conversión'!$A$5:$A$8)),COUNTIFS(F108:O108,"&gt;=0",F108:O108,"&lt;=20"))=0,"",IF($B$7="literal",SUMPRODUCT(COUNTIF(F108:O108,'Conversión'!$A$5:$A$8)),COUNTIFS(F108:O108,"&gt;=0",F108:O108,"&lt;=20")))</f>
        <v/>
      </c>
      <c r="Q108" s="15">
        <f>IF(P108="","",IF($B$7="literal",SUMPRODUCT(COUNTIF(F108:O108,'Conversión'!$A$5:$A$8)*'Conversión'!$B$5:$B$8),SUMIFS(F108:O108,F108:O108,"&gt;=0",F108:O108,"&lt;=20")))</f>
        <v/>
      </c>
      <c r="R108" s="15">
        <f>IF(P108="","",ROUND(Q108/P108,2))</f>
        <v/>
      </c>
      <c r="S108" s="14" t="n"/>
      <c r="T108" s="14" t="n"/>
      <c r="U108" s="14" t="n"/>
      <c r="V108" s="14" t="n"/>
      <c r="W108" s="14" t="n"/>
    </row>
    <row r="109">
      <c r="A109" s="14" t="n"/>
      <c r="B109" s="14" t="n"/>
      <c r="C109" s="14" t="n"/>
      <c r="D109" s="15">
        <f>IF(B109=3,"control",IF(B109=4,"experimental",""))</f>
        <v/>
      </c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5">
        <f>IF(IF($B$7="literal",SUMPRODUCT(COUNTIF(F109:O109,'Conversión'!$A$5:$A$8)),COUNTIFS(F109:O109,"&gt;=0",F109:O109,"&lt;=20"))=0,"",IF($B$7="literal",SUMPRODUCT(COUNTIF(F109:O109,'Conversión'!$A$5:$A$8)),COUNTIFS(F109:O109,"&gt;=0",F109:O109,"&lt;=20")))</f>
        <v/>
      </c>
      <c r="Q109" s="15">
        <f>IF(P109="","",IF($B$7="literal",SUMPRODUCT(COUNTIF(F109:O109,'Conversión'!$A$5:$A$8)*'Conversión'!$B$5:$B$8),SUMIFS(F109:O109,F109:O109,"&gt;=0",F109:O109,"&lt;=20")))</f>
        <v/>
      </c>
      <c r="R109" s="15">
        <f>IF(P109="","",ROUND(Q109/P109,2))</f>
        <v/>
      </c>
      <c r="S109" s="14" t="n"/>
      <c r="T109" s="14" t="n"/>
      <c r="U109" s="14" t="n"/>
      <c r="V109" s="14" t="n"/>
      <c r="W109" s="14" t="n"/>
    </row>
    <row r="110">
      <c r="A110" s="14" t="n"/>
      <c r="B110" s="14" t="n"/>
      <c r="C110" s="14" t="n"/>
      <c r="D110" s="15">
        <f>IF(B110=3,"control",IF(B110=4,"experimental",""))</f>
        <v/>
      </c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5">
        <f>IF(IF($B$7="literal",SUMPRODUCT(COUNTIF(F110:O110,'Conversión'!$A$5:$A$8)),COUNTIFS(F110:O110,"&gt;=0",F110:O110,"&lt;=20"))=0,"",IF($B$7="literal",SUMPRODUCT(COUNTIF(F110:O110,'Conversión'!$A$5:$A$8)),COUNTIFS(F110:O110,"&gt;=0",F110:O110,"&lt;=20")))</f>
        <v/>
      </c>
      <c r="Q110" s="15">
        <f>IF(P110="","",IF($B$7="literal",SUMPRODUCT(COUNTIF(F110:O110,'Conversión'!$A$5:$A$8)*'Conversión'!$B$5:$B$8),SUMIFS(F110:O110,F110:O110,"&gt;=0",F110:O110,"&lt;=20")))</f>
        <v/>
      </c>
      <c r="R110" s="15">
        <f>IF(P110="","",ROUND(Q110/P110,2))</f>
        <v/>
      </c>
      <c r="S110" s="14" t="n"/>
      <c r="T110" s="14" t="n"/>
      <c r="U110" s="14" t="n"/>
      <c r="V110" s="14" t="n"/>
      <c r="W110" s="14" t="n"/>
    </row>
    <row r="111">
      <c r="A111" s="14" t="n"/>
      <c r="B111" s="14" t="n"/>
      <c r="C111" s="14" t="n"/>
      <c r="D111" s="15">
        <f>IF(B111=3,"control",IF(B111=4,"experimental",""))</f>
        <v/>
      </c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5">
        <f>IF(IF($B$7="literal",SUMPRODUCT(COUNTIF(F111:O111,'Conversión'!$A$5:$A$8)),COUNTIFS(F111:O111,"&gt;=0",F111:O111,"&lt;=20"))=0,"",IF($B$7="literal",SUMPRODUCT(COUNTIF(F111:O111,'Conversión'!$A$5:$A$8)),COUNTIFS(F111:O111,"&gt;=0",F111:O111,"&lt;=20")))</f>
        <v/>
      </c>
      <c r="Q111" s="15">
        <f>IF(P111="","",IF($B$7="literal",SUMPRODUCT(COUNTIF(F111:O111,'Conversión'!$A$5:$A$8)*'Conversión'!$B$5:$B$8),SUMIFS(F111:O111,F111:O111,"&gt;=0",F111:O111,"&lt;=20")))</f>
        <v/>
      </c>
      <c r="R111" s="15">
        <f>IF(P111="","",ROUND(Q111/P111,2))</f>
        <v/>
      </c>
      <c r="S111" s="14" t="n"/>
      <c r="T111" s="14" t="n"/>
      <c r="U111" s="14" t="n"/>
      <c r="V111" s="14" t="n"/>
      <c r="W111" s="14" t="n"/>
    </row>
    <row r="112">
      <c r="A112" s="14" t="n"/>
      <c r="B112" s="14" t="n"/>
      <c r="C112" s="14" t="n"/>
      <c r="D112" s="15">
        <f>IF(B112=3,"control",IF(B112=4,"experimental",""))</f>
        <v/>
      </c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5">
        <f>IF(IF($B$7="literal",SUMPRODUCT(COUNTIF(F112:O112,'Conversión'!$A$5:$A$8)),COUNTIFS(F112:O112,"&gt;=0",F112:O112,"&lt;=20"))=0,"",IF($B$7="literal",SUMPRODUCT(COUNTIF(F112:O112,'Conversión'!$A$5:$A$8)),COUNTIFS(F112:O112,"&gt;=0",F112:O112,"&lt;=20")))</f>
        <v/>
      </c>
      <c r="Q112" s="15">
        <f>IF(P112="","",IF($B$7="literal",SUMPRODUCT(COUNTIF(F112:O112,'Conversión'!$A$5:$A$8)*'Conversión'!$B$5:$B$8),SUMIFS(F112:O112,F112:O112,"&gt;=0",F112:O112,"&lt;=20")))</f>
        <v/>
      </c>
      <c r="R112" s="15">
        <f>IF(P112="","",ROUND(Q112/P112,2))</f>
        <v/>
      </c>
      <c r="S112" s="14" t="n"/>
      <c r="T112" s="14" t="n"/>
      <c r="U112" s="14" t="n"/>
      <c r="V112" s="14" t="n"/>
      <c r="W112" s="14" t="n"/>
    </row>
    <row r="113">
      <c r="A113" s="14" t="n"/>
      <c r="B113" s="14" t="n"/>
      <c r="C113" s="14" t="n"/>
      <c r="D113" s="15">
        <f>IF(B113=3,"control",IF(B113=4,"experimental",""))</f>
        <v/>
      </c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5">
        <f>IF(IF($B$7="literal",SUMPRODUCT(COUNTIF(F113:O113,'Conversión'!$A$5:$A$8)),COUNTIFS(F113:O113,"&gt;=0",F113:O113,"&lt;=20"))=0,"",IF($B$7="literal",SUMPRODUCT(COUNTIF(F113:O113,'Conversión'!$A$5:$A$8)),COUNTIFS(F113:O113,"&gt;=0",F113:O113,"&lt;=20")))</f>
        <v/>
      </c>
      <c r="Q113" s="15">
        <f>IF(P113="","",IF($B$7="literal",SUMPRODUCT(COUNTIF(F113:O113,'Conversión'!$A$5:$A$8)*'Conversión'!$B$5:$B$8),SUMIFS(F113:O113,F113:O113,"&gt;=0",F113:O113,"&lt;=20")))</f>
        <v/>
      </c>
      <c r="R113" s="15">
        <f>IF(P113="","",ROUND(Q113/P113,2))</f>
        <v/>
      </c>
      <c r="S113" s="14" t="n"/>
      <c r="T113" s="14" t="n"/>
      <c r="U113" s="14" t="n"/>
      <c r="V113" s="14" t="n"/>
      <c r="W113" s="14" t="n"/>
    </row>
    <row r="114">
      <c r="A114" s="14" t="n"/>
      <c r="B114" s="14" t="n"/>
      <c r="C114" s="14" t="n"/>
      <c r="D114" s="15">
        <f>IF(B114=3,"control",IF(B114=4,"experimental",""))</f>
        <v/>
      </c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5">
        <f>IF(IF($B$7="literal",SUMPRODUCT(COUNTIF(F114:O114,'Conversión'!$A$5:$A$8)),COUNTIFS(F114:O114,"&gt;=0",F114:O114,"&lt;=20"))=0,"",IF($B$7="literal",SUMPRODUCT(COUNTIF(F114:O114,'Conversión'!$A$5:$A$8)),COUNTIFS(F114:O114,"&gt;=0",F114:O114,"&lt;=20")))</f>
        <v/>
      </c>
      <c r="Q114" s="15">
        <f>IF(P114="","",IF($B$7="literal",SUMPRODUCT(COUNTIF(F114:O114,'Conversión'!$A$5:$A$8)*'Conversión'!$B$5:$B$8),SUMIFS(F114:O114,F114:O114,"&gt;=0",F114:O114,"&lt;=20")))</f>
        <v/>
      </c>
      <c r="R114" s="15">
        <f>IF(P114="","",ROUND(Q114/P114,2))</f>
        <v/>
      </c>
      <c r="S114" s="14" t="n"/>
      <c r="T114" s="14" t="n"/>
      <c r="U114" s="14" t="n"/>
      <c r="V114" s="14" t="n"/>
      <c r="W114" s="14" t="n"/>
    </row>
    <row r="115">
      <c r="A115" s="14" t="n"/>
      <c r="B115" s="14" t="n"/>
      <c r="C115" s="14" t="n"/>
      <c r="D115" s="15">
        <f>IF(B115=3,"control",IF(B115=4,"experimental",""))</f>
        <v/>
      </c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5">
        <f>IF(IF($B$7="literal",SUMPRODUCT(COUNTIF(F115:O115,'Conversión'!$A$5:$A$8)),COUNTIFS(F115:O115,"&gt;=0",F115:O115,"&lt;=20"))=0,"",IF($B$7="literal",SUMPRODUCT(COUNTIF(F115:O115,'Conversión'!$A$5:$A$8)),COUNTIFS(F115:O115,"&gt;=0",F115:O115,"&lt;=20")))</f>
        <v/>
      </c>
      <c r="Q115" s="15">
        <f>IF(P115="","",IF($B$7="literal",SUMPRODUCT(COUNTIF(F115:O115,'Conversión'!$A$5:$A$8)*'Conversión'!$B$5:$B$8),SUMIFS(F115:O115,F115:O115,"&gt;=0",F115:O115,"&lt;=20")))</f>
        <v/>
      </c>
      <c r="R115" s="15">
        <f>IF(P115="","",ROUND(Q115/P115,2))</f>
        <v/>
      </c>
      <c r="S115" s="14" t="n"/>
      <c r="T115" s="14" t="n"/>
      <c r="U115" s="14" t="n"/>
      <c r="V115" s="14" t="n"/>
      <c r="W115" s="14" t="n"/>
    </row>
    <row r="116">
      <c r="A116" s="14" t="n"/>
      <c r="B116" s="14" t="n"/>
      <c r="C116" s="14" t="n"/>
      <c r="D116" s="15">
        <f>IF(B116=3,"control",IF(B116=4,"experimental",""))</f>
        <v/>
      </c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5">
        <f>IF(IF($B$7="literal",SUMPRODUCT(COUNTIF(F116:O116,'Conversión'!$A$5:$A$8)),COUNTIFS(F116:O116,"&gt;=0",F116:O116,"&lt;=20"))=0,"",IF($B$7="literal",SUMPRODUCT(COUNTIF(F116:O116,'Conversión'!$A$5:$A$8)),COUNTIFS(F116:O116,"&gt;=0",F116:O116,"&lt;=20")))</f>
        <v/>
      </c>
      <c r="Q116" s="15">
        <f>IF(P116="","",IF($B$7="literal",SUMPRODUCT(COUNTIF(F116:O116,'Conversión'!$A$5:$A$8)*'Conversión'!$B$5:$B$8),SUMIFS(F116:O116,F116:O116,"&gt;=0",F116:O116,"&lt;=20")))</f>
        <v/>
      </c>
      <c r="R116" s="15">
        <f>IF(P116="","",ROUND(Q116/P116,2))</f>
        <v/>
      </c>
      <c r="S116" s="14" t="n"/>
      <c r="T116" s="14" t="n"/>
      <c r="U116" s="14" t="n"/>
      <c r="V116" s="14" t="n"/>
      <c r="W116" s="14" t="n"/>
    </row>
    <row r="117">
      <c r="A117" s="14" t="n"/>
      <c r="B117" s="14" t="n"/>
      <c r="C117" s="14" t="n"/>
      <c r="D117" s="15">
        <f>IF(B117=3,"control",IF(B117=4,"experimental",""))</f>
        <v/>
      </c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5">
        <f>IF(IF($B$7="literal",SUMPRODUCT(COUNTIF(F117:O117,'Conversión'!$A$5:$A$8)),COUNTIFS(F117:O117,"&gt;=0",F117:O117,"&lt;=20"))=0,"",IF($B$7="literal",SUMPRODUCT(COUNTIF(F117:O117,'Conversión'!$A$5:$A$8)),COUNTIFS(F117:O117,"&gt;=0",F117:O117,"&lt;=20")))</f>
        <v/>
      </c>
      <c r="Q117" s="15">
        <f>IF(P117="","",IF($B$7="literal",SUMPRODUCT(COUNTIF(F117:O117,'Conversión'!$A$5:$A$8)*'Conversión'!$B$5:$B$8),SUMIFS(F117:O117,F117:O117,"&gt;=0",F117:O117,"&lt;=20")))</f>
        <v/>
      </c>
      <c r="R117" s="15">
        <f>IF(P117="","",ROUND(Q117/P117,2))</f>
        <v/>
      </c>
      <c r="S117" s="14" t="n"/>
      <c r="T117" s="14" t="n"/>
      <c r="U117" s="14" t="n"/>
      <c r="V117" s="14" t="n"/>
      <c r="W117" s="14" t="n"/>
    </row>
    <row r="118">
      <c r="A118" s="14" t="n"/>
      <c r="B118" s="14" t="n"/>
      <c r="C118" s="14" t="n"/>
      <c r="D118" s="15">
        <f>IF(B118=3,"control",IF(B118=4,"experimental",""))</f>
        <v/>
      </c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5">
        <f>IF(IF($B$7="literal",SUMPRODUCT(COUNTIF(F118:O118,'Conversión'!$A$5:$A$8)),COUNTIFS(F118:O118,"&gt;=0",F118:O118,"&lt;=20"))=0,"",IF($B$7="literal",SUMPRODUCT(COUNTIF(F118:O118,'Conversión'!$A$5:$A$8)),COUNTIFS(F118:O118,"&gt;=0",F118:O118,"&lt;=20")))</f>
        <v/>
      </c>
      <c r="Q118" s="15">
        <f>IF(P118="","",IF($B$7="literal",SUMPRODUCT(COUNTIF(F118:O118,'Conversión'!$A$5:$A$8)*'Conversión'!$B$5:$B$8),SUMIFS(F118:O118,F118:O118,"&gt;=0",F118:O118,"&lt;=20")))</f>
        <v/>
      </c>
      <c r="R118" s="15">
        <f>IF(P118="","",ROUND(Q118/P118,2))</f>
        <v/>
      </c>
      <c r="S118" s="14" t="n"/>
      <c r="T118" s="14" t="n"/>
      <c r="U118" s="14" t="n"/>
      <c r="V118" s="14" t="n"/>
      <c r="W118" s="14" t="n"/>
    </row>
    <row r="119">
      <c r="A119" s="14" t="n"/>
      <c r="B119" s="14" t="n"/>
      <c r="C119" s="14" t="n"/>
      <c r="D119" s="15">
        <f>IF(B119=3,"control",IF(B119=4,"experimental",""))</f>
        <v/>
      </c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5">
        <f>IF(IF($B$7="literal",SUMPRODUCT(COUNTIF(F119:O119,'Conversión'!$A$5:$A$8)),COUNTIFS(F119:O119,"&gt;=0",F119:O119,"&lt;=20"))=0,"",IF($B$7="literal",SUMPRODUCT(COUNTIF(F119:O119,'Conversión'!$A$5:$A$8)),COUNTIFS(F119:O119,"&gt;=0",F119:O119,"&lt;=20")))</f>
        <v/>
      </c>
      <c r="Q119" s="15">
        <f>IF(P119="","",IF($B$7="literal",SUMPRODUCT(COUNTIF(F119:O119,'Conversión'!$A$5:$A$8)*'Conversión'!$B$5:$B$8),SUMIFS(F119:O119,F119:O119,"&gt;=0",F119:O119,"&lt;=20")))</f>
        <v/>
      </c>
      <c r="R119" s="15">
        <f>IF(P119="","",ROUND(Q119/P119,2))</f>
        <v/>
      </c>
      <c r="S119" s="14" t="n"/>
      <c r="T119" s="14" t="n"/>
      <c r="U119" s="14" t="n"/>
      <c r="V119" s="14" t="n"/>
      <c r="W119" s="14" t="n"/>
    </row>
    <row r="120">
      <c r="A120" s="14" t="n"/>
      <c r="B120" s="14" t="n"/>
      <c r="C120" s="14" t="n"/>
      <c r="D120" s="15">
        <f>IF(B120=3,"control",IF(B120=4,"experimental",""))</f>
        <v/>
      </c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5">
        <f>IF(IF($B$7="literal",SUMPRODUCT(COUNTIF(F120:O120,'Conversión'!$A$5:$A$8)),COUNTIFS(F120:O120,"&gt;=0",F120:O120,"&lt;=20"))=0,"",IF($B$7="literal",SUMPRODUCT(COUNTIF(F120:O120,'Conversión'!$A$5:$A$8)),COUNTIFS(F120:O120,"&gt;=0",F120:O120,"&lt;=20")))</f>
        <v/>
      </c>
      <c r="Q120" s="15">
        <f>IF(P120="","",IF($B$7="literal",SUMPRODUCT(COUNTIF(F120:O120,'Conversión'!$A$5:$A$8)*'Conversión'!$B$5:$B$8),SUMIFS(F120:O120,F120:O120,"&gt;=0",F120:O120,"&lt;=20")))</f>
        <v/>
      </c>
      <c r="R120" s="15">
        <f>IF(P120="","",ROUND(Q120/P120,2))</f>
        <v/>
      </c>
      <c r="S120" s="14" t="n"/>
      <c r="T120" s="14" t="n"/>
      <c r="U120" s="14" t="n"/>
      <c r="V120" s="14" t="n"/>
      <c r="W120" s="14" t="n"/>
    </row>
    <row r="121">
      <c r="A121" s="14" t="n"/>
      <c r="B121" s="14" t="n"/>
      <c r="C121" s="14" t="n"/>
      <c r="D121" s="15">
        <f>IF(B121=3,"control",IF(B121=4,"experimental",""))</f>
        <v/>
      </c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5">
        <f>IF(IF($B$7="literal",SUMPRODUCT(COUNTIF(F121:O121,'Conversión'!$A$5:$A$8)),COUNTIFS(F121:O121,"&gt;=0",F121:O121,"&lt;=20"))=0,"",IF($B$7="literal",SUMPRODUCT(COUNTIF(F121:O121,'Conversión'!$A$5:$A$8)),COUNTIFS(F121:O121,"&gt;=0",F121:O121,"&lt;=20")))</f>
        <v/>
      </c>
      <c r="Q121" s="15">
        <f>IF(P121="","",IF($B$7="literal",SUMPRODUCT(COUNTIF(F121:O121,'Conversión'!$A$5:$A$8)*'Conversión'!$B$5:$B$8),SUMIFS(F121:O121,F121:O121,"&gt;=0",F121:O121,"&lt;=20")))</f>
        <v/>
      </c>
      <c r="R121" s="15">
        <f>IF(P121="","",ROUND(Q121/P121,2))</f>
        <v/>
      </c>
      <c r="S121" s="14" t="n"/>
      <c r="T121" s="14" t="n"/>
      <c r="U121" s="14" t="n"/>
      <c r="V121" s="14" t="n"/>
      <c r="W121" s="14" t="n"/>
    </row>
    <row r="122">
      <c r="A122" s="14" t="n"/>
      <c r="B122" s="14" t="n"/>
      <c r="C122" s="14" t="n"/>
      <c r="D122" s="15">
        <f>IF(B122=3,"control",IF(B122=4,"experimental",""))</f>
        <v/>
      </c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5">
        <f>IF(IF($B$7="literal",SUMPRODUCT(COUNTIF(F122:O122,'Conversión'!$A$5:$A$8)),COUNTIFS(F122:O122,"&gt;=0",F122:O122,"&lt;=20"))=0,"",IF($B$7="literal",SUMPRODUCT(COUNTIF(F122:O122,'Conversión'!$A$5:$A$8)),COUNTIFS(F122:O122,"&gt;=0",F122:O122,"&lt;=20")))</f>
        <v/>
      </c>
      <c r="Q122" s="15">
        <f>IF(P122="","",IF($B$7="literal",SUMPRODUCT(COUNTIF(F122:O122,'Conversión'!$A$5:$A$8)*'Conversión'!$B$5:$B$8),SUMIFS(F122:O122,F122:O122,"&gt;=0",F122:O122,"&lt;=20")))</f>
        <v/>
      </c>
      <c r="R122" s="15">
        <f>IF(P122="","",ROUND(Q122/P122,2))</f>
        <v/>
      </c>
      <c r="S122" s="14" t="n"/>
      <c r="T122" s="14" t="n"/>
      <c r="U122" s="14" t="n"/>
      <c r="V122" s="14" t="n"/>
      <c r="W122" s="14" t="n"/>
    </row>
    <row r="123">
      <c r="A123" s="14" t="n"/>
      <c r="B123" s="14" t="n"/>
      <c r="C123" s="14" t="n"/>
      <c r="D123" s="15">
        <f>IF(B123=3,"control",IF(B123=4,"experimental",""))</f>
        <v/>
      </c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5">
        <f>IF(IF($B$7="literal",SUMPRODUCT(COUNTIF(F123:O123,'Conversión'!$A$5:$A$8)),COUNTIFS(F123:O123,"&gt;=0",F123:O123,"&lt;=20"))=0,"",IF($B$7="literal",SUMPRODUCT(COUNTIF(F123:O123,'Conversión'!$A$5:$A$8)),COUNTIFS(F123:O123,"&gt;=0",F123:O123,"&lt;=20")))</f>
        <v/>
      </c>
      <c r="Q123" s="15">
        <f>IF(P123="","",IF($B$7="literal",SUMPRODUCT(COUNTIF(F123:O123,'Conversión'!$A$5:$A$8)*'Conversión'!$B$5:$B$8),SUMIFS(F123:O123,F123:O123,"&gt;=0",F123:O123,"&lt;=20")))</f>
        <v/>
      </c>
      <c r="R123" s="15">
        <f>IF(P123="","",ROUND(Q123/P123,2))</f>
        <v/>
      </c>
      <c r="S123" s="14" t="n"/>
      <c r="T123" s="14" t="n"/>
      <c r="U123" s="14" t="n"/>
      <c r="V123" s="14" t="n"/>
      <c r="W123" s="14" t="n"/>
    </row>
    <row r="124">
      <c r="A124" s="14" t="n"/>
      <c r="B124" s="14" t="n"/>
      <c r="C124" s="14" t="n"/>
      <c r="D124" s="15">
        <f>IF(B124=3,"control",IF(B124=4,"experimental",""))</f>
        <v/>
      </c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5">
        <f>IF(IF($B$7="literal",SUMPRODUCT(COUNTIF(F124:O124,'Conversión'!$A$5:$A$8)),COUNTIFS(F124:O124,"&gt;=0",F124:O124,"&lt;=20"))=0,"",IF($B$7="literal",SUMPRODUCT(COUNTIF(F124:O124,'Conversión'!$A$5:$A$8)),COUNTIFS(F124:O124,"&gt;=0",F124:O124,"&lt;=20")))</f>
        <v/>
      </c>
      <c r="Q124" s="15">
        <f>IF(P124="","",IF($B$7="literal",SUMPRODUCT(COUNTIF(F124:O124,'Conversión'!$A$5:$A$8)*'Conversión'!$B$5:$B$8),SUMIFS(F124:O124,F124:O124,"&gt;=0",F124:O124,"&lt;=20")))</f>
        <v/>
      </c>
      <c r="R124" s="15">
        <f>IF(P124="","",ROUND(Q124/P124,2))</f>
        <v/>
      </c>
      <c r="S124" s="14" t="n"/>
      <c r="T124" s="14" t="n"/>
      <c r="U124" s="14" t="n"/>
      <c r="V124" s="14" t="n"/>
      <c r="W124" s="14" t="n"/>
    </row>
    <row r="125">
      <c r="A125" s="14" t="n"/>
      <c r="B125" s="14" t="n"/>
      <c r="C125" s="14" t="n"/>
      <c r="D125" s="15">
        <f>IF(B125=3,"control",IF(B125=4,"experimental",""))</f>
        <v/>
      </c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5">
        <f>IF(IF($B$7="literal",SUMPRODUCT(COUNTIF(F125:O125,'Conversión'!$A$5:$A$8)),COUNTIFS(F125:O125,"&gt;=0",F125:O125,"&lt;=20"))=0,"",IF($B$7="literal",SUMPRODUCT(COUNTIF(F125:O125,'Conversión'!$A$5:$A$8)),COUNTIFS(F125:O125,"&gt;=0",F125:O125,"&lt;=20")))</f>
        <v/>
      </c>
      <c r="Q125" s="15">
        <f>IF(P125="","",IF($B$7="literal",SUMPRODUCT(COUNTIF(F125:O125,'Conversión'!$A$5:$A$8)*'Conversión'!$B$5:$B$8),SUMIFS(F125:O125,F125:O125,"&gt;=0",F125:O125,"&lt;=20")))</f>
        <v/>
      </c>
      <c r="R125" s="15">
        <f>IF(P125="","",ROUND(Q125/P125,2))</f>
        <v/>
      </c>
      <c r="S125" s="14" t="n"/>
      <c r="T125" s="14" t="n"/>
      <c r="U125" s="14" t="n"/>
      <c r="V125" s="14" t="n"/>
      <c r="W125" s="14" t="n"/>
    </row>
    <row r="126">
      <c r="A126" s="14" t="n"/>
      <c r="B126" s="14" t="n"/>
      <c r="C126" s="14" t="n"/>
      <c r="D126" s="15">
        <f>IF(B126=3,"control",IF(B126=4,"experimental",""))</f>
        <v/>
      </c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5">
        <f>IF(IF($B$7="literal",SUMPRODUCT(COUNTIF(F126:O126,'Conversión'!$A$5:$A$8)),COUNTIFS(F126:O126,"&gt;=0",F126:O126,"&lt;=20"))=0,"",IF($B$7="literal",SUMPRODUCT(COUNTIF(F126:O126,'Conversión'!$A$5:$A$8)),COUNTIFS(F126:O126,"&gt;=0",F126:O126,"&lt;=20")))</f>
        <v/>
      </c>
      <c r="Q126" s="15">
        <f>IF(P126="","",IF($B$7="literal",SUMPRODUCT(COUNTIF(F126:O126,'Conversión'!$A$5:$A$8)*'Conversión'!$B$5:$B$8),SUMIFS(F126:O126,F126:O126,"&gt;=0",F126:O126,"&lt;=20")))</f>
        <v/>
      </c>
      <c r="R126" s="15">
        <f>IF(P126="","",ROUND(Q126/P126,2))</f>
        <v/>
      </c>
      <c r="S126" s="14" t="n"/>
      <c r="T126" s="14" t="n"/>
      <c r="U126" s="14" t="n"/>
      <c r="V126" s="14" t="n"/>
      <c r="W126" s="14" t="n"/>
    </row>
    <row r="127">
      <c r="A127" s="14" t="n"/>
      <c r="B127" s="14" t="n"/>
      <c r="C127" s="14" t="n"/>
      <c r="D127" s="15">
        <f>IF(B127=3,"control",IF(B127=4,"experimental",""))</f>
        <v/>
      </c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5">
        <f>IF(IF($B$7="literal",SUMPRODUCT(COUNTIF(F127:O127,'Conversión'!$A$5:$A$8)),COUNTIFS(F127:O127,"&gt;=0",F127:O127,"&lt;=20"))=0,"",IF($B$7="literal",SUMPRODUCT(COUNTIF(F127:O127,'Conversión'!$A$5:$A$8)),COUNTIFS(F127:O127,"&gt;=0",F127:O127,"&lt;=20")))</f>
        <v/>
      </c>
      <c r="Q127" s="15">
        <f>IF(P127="","",IF($B$7="literal",SUMPRODUCT(COUNTIF(F127:O127,'Conversión'!$A$5:$A$8)*'Conversión'!$B$5:$B$8),SUMIFS(F127:O127,F127:O127,"&gt;=0",F127:O127,"&lt;=20")))</f>
        <v/>
      </c>
      <c r="R127" s="15">
        <f>IF(P127="","",ROUND(Q127/P127,2))</f>
        <v/>
      </c>
      <c r="S127" s="14" t="n"/>
      <c r="T127" s="14" t="n"/>
      <c r="U127" s="14" t="n"/>
      <c r="V127" s="14" t="n"/>
      <c r="W127" s="14" t="n"/>
    </row>
    <row r="128">
      <c r="A128" s="14" t="n"/>
      <c r="B128" s="14" t="n"/>
      <c r="C128" s="14" t="n"/>
      <c r="D128" s="15">
        <f>IF(B128=3,"control",IF(B128=4,"experimental",""))</f>
        <v/>
      </c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5">
        <f>IF(IF($B$7="literal",SUMPRODUCT(COUNTIF(F128:O128,'Conversión'!$A$5:$A$8)),COUNTIFS(F128:O128,"&gt;=0",F128:O128,"&lt;=20"))=0,"",IF($B$7="literal",SUMPRODUCT(COUNTIF(F128:O128,'Conversión'!$A$5:$A$8)),COUNTIFS(F128:O128,"&gt;=0",F128:O128,"&lt;=20")))</f>
        <v/>
      </c>
      <c r="Q128" s="15">
        <f>IF(P128="","",IF($B$7="literal",SUMPRODUCT(COUNTIF(F128:O128,'Conversión'!$A$5:$A$8)*'Conversión'!$B$5:$B$8),SUMIFS(F128:O128,F128:O128,"&gt;=0",F128:O128,"&lt;=20")))</f>
        <v/>
      </c>
      <c r="R128" s="15">
        <f>IF(P128="","",ROUND(Q128/P128,2))</f>
        <v/>
      </c>
      <c r="S128" s="14" t="n"/>
      <c r="T128" s="14" t="n"/>
      <c r="U128" s="14" t="n"/>
      <c r="V128" s="14" t="n"/>
      <c r="W128" s="14" t="n"/>
    </row>
    <row r="129">
      <c r="A129" s="14" t="n"/>
      <c r="B129" s="14" t="n"/>
      <c r="C129" s="14" t="n"/>
      <c r="D129" s="15">
        <f>IF(B129=3,"control",IF(B129=4,"experimental",""))</f>
        <v/>
      </c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5">
        <f>IF(IF($B$7="literal",SUMPRODUCT(COUNTIF(F129:O129,'Conversión'!$A$5:$A$8)),COUNTIFS(F129:O129,"&gt;=0",F129:O129,"&lt;=20"))=0,"",IF($B$7="literal",SUMPRODUCT(COUNTIF(F129:O129,'Conversión'!$A$5:$A$8)),COUNTIFS(F129:O129,"&gt;=0",F129:O129,"&lt;=20")))</f>
        <v/>
      </c>
      <c r="Q129" s="15">
        <f>IF(P129="","",IF($B$7="literal",SUMPRODUCT(COUNTIF(F129:O129,'Conversión'!$A$5:$A$8)*'Conversión'!$B$5:$B$8),SUMIFS(F129:O129,F129:O129,"&gt;=0",F129:O129,"&lt;=20")))</f>
        <v/>
      </c>
      <c r="R129" s="15">
        <f>IF(P129="","",ROUND(Q129/P129,2))</f>
        <v/>
      </c>
      <c r="S129" s="14" t="n"/>
      <c r="T129" s="14" t="n"/>
      <c r="U129" s="14" t="n"/>
      <c r="V129" s="14" t="n"/>
      <c r="W129" s="14" t="n"/>
    </row>
    <row r="130">
      <c r="A130" s="14" t="n"/>
      <c r="B130" s="14" t="n"/>
      <c r="C130" s="14" t="n"/>
      <c r="D130" s="15">
        <f>IF(B130=3,"control",IF(B130=4,"experimental",""))</f>
        <v/>
      </c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5">
        <f>IF(IF($B$7="literal",SUMPRODUCT(COUNTIF(F130:O130,'Conversión'!$A$5:$A$8)),COUNTIFS(F130:O130,"&gt;=0",F130:O130,"&lt;=20"))=0,"",IF($B$7="literal",SUMPRODUCT(COUNTIF(F130:O130,'Conversión'!$A$5:$A$8)),COUNTIFS(F130:O130,"&gt;=0",F130:O130,"&lt;=20")))</f>
        <v/>
      </c>
      <c r="Q130" s="15">
        <f>IF(P130="","",IF($B$7="literal",SUMPRODUCT(COUNTIF(F130:O130,'Conversión'!$A$5:$A$8)*'Conversión'!$B$5:$B$8),SUMIFS(F130:O130,F130:O130,"&gt;=0",F130:O130,"&lt;=20")))</f>
        <v/>
      </c>
      <c r="R130" s="15">
        <f>IF(P130="","",ROUND(Q130/P130,2))</f>
        <v/>
      </c>
      <c r="S130" s="14" t="n"/>
      <c r="T130" s="14" t="n"/>
      <c r="U130" s="14" t="n"/>
      <c r="V130" s="14" t="n"/>
      <c r="W130" s="14" t="n"/>
    </row>
    <row r="131">
      <c r="A131" s="14" t="n"/>
      <c r="B131" s="14" t="n"/>
      <c r="C131" s="14" t="n"/>
      <c r="D131" s="15">
        <f>IF(B131=3,"control",IF(B131=4,"experimental",""))</f>
        <v/>
      </c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5">
        <f>IF(IF($B$7="literal",SUMPRODUCT(COUNTIF(F131:O131,'Conversión'!$A$5:$A$8)),COUNTIFS(F131:O131,"&gt;=0",F131:O131,"&lt;=20"))=0,"",IF($B$7="literal",SUMPRODUCT(COUNTIF(F131:O131,'Conversión'!$A$5:$A$8)),COUNTIFS(F131:O131,"&gt;=0",F131:O131,"&lt;=20")))</f>
        <v/>
      </c>
      <c r="Q131" s="15">
        <f>IF(P131="","",IF($B$7="literal",SUMPRODUCT(COUNTIF(F131:O131,'Conversión'!$A$5:$A$8)*'Conversión'!$B$5:$B$8),SUMIFS(F131:O131,F131:O131,"&gt;=0",F131:O131,"&lt;=20")))</f>
        <v/>
      </c>
      <c r="R131" s="15">
        <f>IF(P131="","",ROUND(Q131/P131,2))</f>
        <v/>
      </c>
      <c r="S131" s="14" t="n"/>
      <c r="T131" s="14" t="n"/>
      <c r="U131" s="14" t="n"/>
      <c r="V131" s="14" t="n"/>
      <c r="W131" s="14" t="n"/>
    </row>
    <row r="132">
      <c r="A132" s="14" t="n"/>
      <c r="B132" s="14" t="n"/>
      <c r="C132" s="14" t="n"/>
      <c r="D132" s="15">
        <f>IF(B132=3,"control",IF(B132=4,"experimental",""))</f>
        <v/>
      </c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5">
        <f>IF(IF($B$7="literal",SUMPRODUCT(COUNTIF(F132:O132,'Conversión'!$A$5:$A$8)),COUNTIFS(F132:O132,"&gt;=0",F132:O132,"&lt;=20"))=0,"",IF($B$7="literal",SUMPRODUCT(COUNTIF(F132:O132,'Conversión'!$A$5:$A$8)),COUNTIFS(F132:O132,"&gt;=0",F132:O132,"&lt;=20")))</f>
        <v/>
      </c>
      <c r="Q132" s="15">
        <f>IF(P132="","",IF($B$7="literal",SUMPRODUCT(COUNTIF(F132:O132,'Conversión'!$A$5:$A$8)*'Conversión'!$B$5:$B$8),SUMIFS(F132:O132,F132:O132,"&gt;=0",F132:O132,"&lt;=20")))</f>
        <v/>
      </c>
      <c r="R132" s="15">
        <f>IF(P132="","",ROUND(Q132/P132,2))</f>
        <v/>
      </c>
      <c r="S132" s="14" t="n"/>
      <c r="T132" s="14" t="n"/>
      <c r="U132" s="14" t="n"/>
      <c r="V132" s="14" t="n"/>
      <c r="W132" s="14" t="n"/>
    </row>
    <row r="133">
      <c r="A133" s="14" t="n"/>
      <c r="B133" s="14" t="n"/>
      <c r="C133" s="14" t="n"/>
      <c r="D133" s="15">
        <f>IF(B133=3,"control",IF(B133=4,"experimental",""))</f>
        <v/>
      </c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5">
        <f>IF(IF($B$7="literal",SUMPRODUCT(COUNTIF(F133:O133,'Conversión'!$A$5:$A$8)),COUNTIFS(F133:O133,"&gt;=0",F133:O133,"&lt;=20"))=0,"",IF($B$7="literal",SUMPRODUCT(COUNTIF(F133:O133,'Conversión'!$A$5:$A$8)),COUNTIFS(F133:O133,"&gt;=0",F133:O133,"&lt;=20")))</f>
        <v/>
      </c>
      <c r="Q133" s="15">
        <f>IF(P133="","",IF($B$7="literal",SUMPRODUCT(COUNTIF(F133:O133,'Conversión'!$A$5:$A$8)*'Conversión'!$B$5:$B$8),SUMIFS(F133:O133,F133:O133,"&gt;=0",F133:O133,"&lt;=20")))</f>
        <v/>
      </c>
      <c r="R133" s="15">
        <f>IF(P133="","",ROUND(Q133/P133,2))</f>
        <v/>
      </c>
      <c r="S133" s="14" t="n"/>
      <c r="T133" s="14" t="n"/>
      <c r="U133" s="14" t="n"/>
      <c r="V133" s="14" t="n"/>
      <c r="W133" s="14" t="n"/>
    </row>
    <row r="134">
      <c r="A134" s="14" t="n"/>
      <c r="B134" s="14" t="n"/>
      <c r="C134" s="14" t="n"/>
      <c r="D134" s="15">
        <f>IF(B134=3,"control",IF(B134=4,"experimental",""))</f>
        <v/>
      </c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5">
        <f>IF(IF($B$7="literal",SUMPRODUCT(COUNTIF(F134:O134,'Conversión'!$A$5:$A$8)),COUNTIFS(F134:O134,"&gt;=0",F134:O134,"&lt;=20"))=0,"",IF($B$7="literal",SUMPRODUCT(COUNTIF(F134:O134,'Conversión'!$A$5:$A$8)),COUNTIFS(F134:O134,"&gt;=0",F134:O134,"&lt;=20")))</f>
        <v/>
      </c>
      <c r="Q134" s="15">
        <f>IF(P134="","",IF($B$7="literal",SUMPRODUCT(COUNTIF(F134:O134,'Conversión'!$A$5:$A$8)*'Conversión'!$B$5:$B$8),SUMIFS(F134:O134,F134:O134,"&gt;=0",F134:O134,"&lt;=20")))</f>
        <v/>
      </c>
      <c r="R134" s="15">
        <f>IF(P134="","",ROUND(Q134/P134,2))</f>
        <v/>
      </c>
      <c r="S134" s="14" t="n"/>
      <c r="T134" s="14" t="n"/>
      <c r="U134" s="14" t="n"/>
      <c r="V134" s="14" t="n"/>
      <c r="W134" s="14" t="n"/>
    </row>
    <row r="135">
      <c r="A135" s="14" t="n"/>
      <c r="B135" s="14" t="n"/>
      <c r="C135" s="14" t="n"/>
      <c r="D135" s="15">
        <f>IF(B135=3,"control",IF(B135=4,"experimental",""))</f>
        <v/>
      </c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5">
        <f>IF(IF($B$7="literal",SUMPRODUCT(COUNTIF(F135:O135,'Conversión'!$A$5:$A$8)),COUNTIFS(F135:O135,"&gt;=0",F135:O135,"&lt;=20"))=0,"",IF($B$7="literal",SUMPRODUCT(COUNTIF(F135:O135,'Conversión'!$A$5:$A$8)),COUNTIFS(F135:O135,"&gt;=0",F135:O135,"&lt;=20")))</f>
        <v/>
      </c>
      <c r="Q135" s="15">
        <f>IF(P135="","",IF($B$7="literal",SUMPRODUCT(COUNTIF(F135:O135,'Conversión'!$A$5:$A$8)*'Conversión'!$B$5:$B$8),SUMIFS(F135:O135,F135:O135,"&gt;=0",F135:O135,"&lt;=20")))</f>
        <v/>
      </c>
      <c r="R135" s="15">
        <f>IF(P135="","",ROUND(Q135/P135,2))</f>
        <v/>
      </c>
      <c r="S135" s="14" t="n"/>
      <c r="T135" s="14" t="n"/>
      <c r="U135" s="14" t="n"/>
      <c r="V135" s="14" t="n"/>
      <c r="W135" s="14" t="n"/>
    </row>
    <row r="136">
      <c r="A136" s="14" t="n"/>
      <c r="B136" s="14" t="n"/>
      <c r="C136" s="14" t="n"/>
      <c r="D136" s="15">
        <f>IF(B136=3,"control",IF(B136=4,"experimental",""))</f>
        <v/>
      </c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5">
        <f>IF(IF($B$7="literal",SUMPRODUCT(COUNTIF(F136:O136,'Conversión'!$A$5:$A$8)),COUNTIFS(F136:O136,"&gt;=0",F136:O136,"&lt;=20"))=0,"",IF($B$7="literal",SUMPRODUCT(COUNTIF(F136:O136,'Conversión'!$A$5:$A$8)),COUNTIFS(F136:O136,"&gt;=0",F136:O136,"&lt;=20")))</f>
        <v/>
      </c>
      <c r="Q136" s="15">
        <f>IF(P136="","",IF($B$7="literal",SUMPRODUCT(COUNTIF(F136:O136,'Conversión'!$A$5:$A$8)*'Conversión'!$B$5:$B$8),SUMIFS(F136:O136,F136:O136,"&gt;=0",F136:O136,"&lt;=20")))</f>
        <v/>
      </c>
      <c r="R136" s="15">
        <f>IF(P136="","",ROUND(Q136/P136,2))</f>
        <v/>
      </c>
      <c r="S136" s="14" t="n"/>
      <c r="T136" s="14" t="n"/>
      <c r="U136" s="14" t="n"/>
      <c r="V136" s="14" t="n"/>
      <c r="W136" s="14" t="n"/>
    </row>
    <row r="137">
      <c r="A137" s="14" t="n"/>
      <c r="B137" s="14" t="n"/>
      <c r="C137" s="14" t="n"/>
      <c r="D137" s="15">
        <f>IF(B137=3,"control",IF(B137=4,"experimental",""))</f>
        <v/>
      </c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5">
        <f>IF(IF($B$7="literal",SUMPRODUCT(COUNTIF(F137:O137,'Conversión'!$A$5:$A$8)),COUNTIFS(F137:O137,"&gt;=0",F137:O137,"&lt;=20"))=0,"",IF($B$7="literal",SUMPRODUCT(COUNTIF(F137:O137,'Conversión'!$A$5:$A$8)),COUNTIFS(F137:O137,"&gt;=0",F137:O137,"&lt;=20")))</f>
        <v/>
      </c>
      <c r="Q137" s="15">
        <f>IF(P137="","",IF($B$7="literal",SUMPRODUCT(COUNTIF(F137:O137,'Conversión'!$A$5:$A$8)*'Conversión'!$B$5:$B$8),SUMIFS(F137:O137,F137:O137,"&gt;=0",F137:O137,"&lt;=20")))</f>
        <v/>
      </c>
      <c r="R137" s="15">
        <f>IF(P137="","",ROUND(Q137/P137,2))</f>
        <v/>
      </c>
      <c r="S137" s="14" t="n"/>
      <c r="T137" s="14" t="n"/>
      <c r="U137" s="14" t="n"/>
      <c r="V137" s="14" t="n"/>
      <c r="W137" s="14" t="n"/>
    </row>
    <row r="138">
      <c r="A138" s="14" t="n"/>
      <c r="B138" s="14" t="n"/>
      <c r="C138" s="14" t="n"/>
      <c r="D138" s="15">
        <f>IF(B138=3,"control",IF(B138=4,"experimental",""))</f>
        <v/>
      </c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5">
        <f>IF(IF($B$7="literal",SUMPRODUCT(COUNTIF(F138:O138,'Conversión'!$A$5:$A$8)),COUNTIFS(F138:O138,"&gt;=0",F138:O138,"&lt;=20"))=0,"",IF($B$7="literal",SUMPRODUCT(COUNTIF(F138:O138,'Conversión'!$A$5:$A$8)),COUNTIFS(F138:O138,"&gt;=0",F138:O138,"&lt;=20")))</f>
        <v/>
      </c>
      <c r="Q138" s="15">
        <f>IF(P138="","",IF($B$7="literal",SUMPRODUCT(COUNTIF(F138:O138,'Conversión'!$A$5:$A$8)*'Conversión'!$B$5:$B$8),SUMIFS(F138:O138,F138:O138,"&gt;=0",F138:O138,"&lt;=20")))</f>
        <v/>
      </c>
      <c r="R138" s="15">
        <f>IF(P138="","",ROUND(Q138/P138,2))</f>
        <v/>
      </c>
      <c r="S138" s="14" t="n"/>
      <c r="T138" s="14" t="n"/>
      <c r="U138" s="14" t="n"/>
      <c r="V138" s="14" t="n"/>
      <c r="W138" s="14" t="n"/>
    </row>
    <row r="139">
      <c r="A139" s="14" t="n"/>
      <c r="B139" s="14" t="n"/>
      <c r="C139" s="14" t="n"/>
      <c r="D139" s="15">
        <f>IF(B139=3,"control",IF(B139=4,"experimental",""))</f>
        <v/>
      </c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5">
        <f>IF(IF($B$7="literal",SUMPRODUCT(COUNTIF(F139:O139,'Conversión'!$A$5:$A$8)),COUNTIFS(F139:O139,"&gt;=0",F139:O139,"&lt;=20"))=0,"",IF($B$7="literal",SUMPRODUCT(COUNTIF(F139:O139,'Conversión'!$A$5:$A$8)),COUNTIFS(F139:O139,"&gt;=0",F139:O139,"&lt;=20")))</f>
        <v/>
      </c>
      <c r="Q139" s="15">
        <f>IF(P139="","",IF($B$7="literal",SUMPRODUCT(COUNTIF(F139:O139,'Conversión'!$A$5:$A$8)*'Conversión'!$B$5:$B$8),SUMIFS(F139:O139,F139:O139,"&gt;=0",F139:O139,"&lt;=20")))</f>
        <v/>
      </c>
      <c r="R139" s="15">
        <f>IF(P139="","",ROUND(Q139/P139,2))</f>
        <v/>
      </c>
      <c r="S139" s="14" t="n"/>
      <c r="T139" s="14" t="n"/>
      <c r="U139" s="14" t="n"/>
      <c r="V139" s="14" t="n"/>
      <c r="W139" s="14" t="n"/>
    </row>
    <row r="140">
      <c r="A140" s="14" t="n"/>
      <c r="B140" s="14" t="n"/>
      <c r="C140" s="14" t="n"/>
      <c r="D140" s="15">
        <f>IF(B140=3,"control",IF(B140=4,"experimental",""))</f>
        <v/>
      </c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5">
        <f>IF(IF($B$7="literal",SUMPRODUCT(COUNTIF(F140:O140,'Conversión'!$A$5:$A$8)),COUNTIFS(F140:O140,"&gt;=0",F140:O140,"&lt;=20"))=0,"",IF($B$7="literal",SUMPRODUCT(COUNTIF(F140:O140,'Conversión'!$A$5:$A$8)),COUNTIFS(F140:O140,"&gt;=0",F140:O140,"&lt;=20")))</f>
        <v/>
      </c>
      <c r="Q140" s="15">
        <f>IF(P140="","",IF($B$7="literal",SUMPRODUCT(COUNTIF(F140:O140,'Conversión'!$A$5:$A$8)*'Conversión'!$B$5:$B$8),SUMIFS(F140:O140,F140:O140,"&gt;=0",F140:O140,"&lt;=20")))</f>
        <v/>
      </c>
      <c r="R140" s="15">
        <f>IF(P140="","",ROUND(Q140/P140,2))</f>
        <v/>
      </c>
      <c r="S140" s="14" t="n"/>
      <c r="T140" s="14" t="n"/>
      <c r="U140" s="14" t="n"/>
      <c r="V140" s="14" t="n"/>
      <c r="W140" s="14" t="n"/>
    </row>
    <row r="141">
      <c r="A141" s="14" t="n"/>
      <c r="B141" s="14" t="n"/>
      <c r="C141" s="14" t="n"/>
      <c r="D141" s="15">
        <f>IF(B141=3,"control",IF(B141=4,"experimental",""))</f>
        <v/>
      </c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5">
        <f>IF(IF($B$7="literal",SUMPRODUCT(COUNTIF(F141:O141,'Conversión'!$A$5:$A$8)),COUNTIFS(F141:O141,"&gt;=0",F141:O141,"&lt;=20"))=0,"",IF($B$7="literal",SUMPRODUCT(COUNTIF(F141:O141,'Conversión'!$A$5:$A$8)),COUNTIFS(F141:O141,"&gt;=0",F141:O141,"&lt;=20")))</f>
        <v/>
      </c>
      <c r="Q141" s="15">
        <f>IF(P141="","",IF($B$7="literal",SUMPRODUCT(COUNTIF(F141:O141,'Conversión'!$A$5:$A$8)*'Conversión'!$B$5:$B$8),SUMIFS(F141:O141,F141:O141,"&gt;=0",F141:O141,"&lt;=20")))</f>
        <v/>
      </c>
      <c r="R141" s="15">
        <f>IF(P141="","",ROUND(Q141/P141,2))</f>
        <v/>
      </c>
      <c r="S141" s="14" t="n"/>
      <c r="T141" s="14" t="n"/>
      <c r="U141" s="14" t="n"/>
      <c r="V141" s="14" t="n"/>
      <c r="W141" s="14" t="n"/>
    </row>
    <row r="142">
      <c r="A142" s="14" t="n"/>
      <c r="B142" s="14" t="n"/>
      <c r="C142" s="14" t="n"/>
      <c r="D142" s="15">
        <f>IF(B142=3,"control",IF(B142=4,"experimental",""))</f>
        <v/>
      </c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5">
        <f>IF(IF($B$7="literal",SUMPRODUCT(COUNTIF(F142:O142,'Conversión'!$A$5:$A$8)),COUNTIFS(F142:O142,"&gt;=0",F142:O142,"&lt;=20"))=0,"",IF($B$7="literal",SUMPRODUCT(COUNTIF(F142:O142,'Conversión'!$A$5:$A$8)),COUNTIFS(F142:O142,"&gt;=0",F142:O142,"&lt;=20")))</f>
        <v/>
      </c>
      <c r="Q142" s="15">
        <f>IF(P142="","",IF($B$7="literal",SUMPRODUCT(COUNTIF(F142:O142,'Conversión'!$A$5:$A$8)*'Conversión'!$B$5:$B$8),SUMIFS(F142:O142,F142:O142,"&gt;=0",F142:O142,"&lt;=20")))</f>
        <v/>
      </c>
      <c r="R142" s="15">
        <f>IF(P142="","",ROUND(Q142/P142,2))</f>
        <v/>
      </c>
      <c r="S142" s="14" t="n"/>
      <c r="T142" s="14" t="n"/>
      <c r="U142" s="14" t="n"/>
      <c r="V142" s="14" t="n"/>
      <c r="W142" s="14" t="n"/>
    </row>
    <row r="143">
      <c r="A143" s="14" t="n"/>
      <c r="B143" s="14" t="n"/>
      <c r="C143" s="14" t="n"/>
      <c r="D143" s="15">
        <f>IF(B143=3,"control",IF(B143=4,"experimental",""))</f>
        <v/>
      </c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5">
        <f>IF(IF($B$7="literal",SUMPRODUCT(COUNTIF(F143:O143,'Conversión'!$A$5:$A$8)),COUNTIFS(F143:O143,"&gt;=0",F143:O143,"&lt;=20"))=0,"",IF($B$7="literal",SUMPRODUCT(COUNTIF(F143:O143,'Conversión'!$A$5:$A$8)),COUNTIFS(F143:O143,"&gt;=0",F143:O143,"&lt;=20")))</f>
        <v/>
      </c>
      <c r="Q143" s="15">
        <f>IF(P143="","",IF($B$7="literal",SUMPRODUCT(COUNTIF(F143:O143,'Conversión'!$A$5:$A$8)*'Conversión'!$B$5:$B$8),SUMIFS(F143:O143,F143:O143,"&gt;=0",F143:O143,"&lt;=20")))</f>
        <v/>
      </c>
      <c r="R143" s="15">
        <f>IF(P143="","",ROUND(Q143/P143,2))</f>
        <v/>
      </c>
      <c r="S143" s="14" t="n"/>
      <c r="T143" s="14" t="n"/>
      <c r="U143" s="14" t="n"/>
      <c r="V143" s="14" t="n"/>
      <c r="W143" s="14" t="n"/>
    </row>
    <row r="144">
      <c r="A144" s="14" t="n"/>
      <c r="B144" s="14" t="n"/>
      <c r="C144" s="14" t="n"/>
      <c r="D144" s="15">
        <f>IF(B144=3,"control",IF(B144=4,"experimental",""))</f>
        <v/>
      </c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5">
        <f>IF(IF($B$7="literal",SUMPRODUCT(COUNTIF(F144:O144,'Conversión'!$A$5:$A$8)),COUNTIFS(F144:O144,"&gt;=0",F144:O144,"&lt;=20"))=0,"",IF($B$7="literal",SUMPRODUCT(COUNTIF(F144:O144,'Conversión'!$A$5:$A$8)),COUNTIFS(F144:O144,"&gt;=0",F144:O144,"&lt;=20")))</f>
        <v/>
      </c>
      <c r="Q144" s="15">
        <f>IF(P144="","",IF($B$7="literal",SUMPRODUCT(COUNTIF(F144:O144,'Conversión'!$A$5:$A$8)*'Conversión'!$B$5:$B$8),SUMIFS(F144:O144,F144:O144,"&gt;=0",F144:O144,"&lt;=20")))</f>
        <v/>
      </c>
      <c r="R144" s="15">
        <f>IF(P144="","",ROUND(Q144/P144,2))</f>
        <v/>
      </c>
      <c r="S144" s="14" t="n"/>
      <c r="T144" s="14" t="n"/>
      <c r="U144" s="14" t="n"/>
      <c r="V144" s="14" t="n"/>
      <c r="W144" s="14" t="n"/>
    </row>
    <row r="145">
      <c r="A145" s="14" t="n"/>
      <c r="B145" s="14" t="n"/>
      <c r="C145" s="14" t="n"/>
      <c r="D145" s="15">
        <f>IF(B145=3,"control",IF(B145=4,"experimental",""))</f>
        <v/>
      </c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5">
        <f>IF(IF($B$7="literal",SUMPRODUCT(COUNTIF(F145:O145,'Conversión'!$A$5:$A$8)),COUNTIFS(F145:O145,"&gt;=0",F145:O145,"&lt;=20"))=0,"",IF($B$7="literal",SUMPRODUCT(COUNTIF(F145:O145,'Conversión'!$A$5:$A$8)),COUNTIFS(F145:O145,"&gt;=0",F145:O145,"&lt;=20")))</f>
        <v/>
      </c>
      <c r="Q145" s="15">
        <f>IF(P145="","",IF($B$7="literal",SUMPRODUCT(COUNTIF(F145:O145,'Conversión'!$A$5:$A$8)*'Conversión'!$B$5:$B$8),SUMIFS(F145:O145,F145:O145,"&gt;=0",F145:O145,"&lt;=20")))</f>
        <v/>
      </c>
      <c r="R145" s="15">
        <f>IF(P145="","",ROUND(Q145/P145,2))</f>
        <v/>
      </c>
      <c r="S145" s="14" t="n"/>
      <c r="T145" s="14" t="n"/>
      <c r="U145" s="14" t="n"/>
      <c r="V145" s="14" t="n"/>
      <c r="W145" s="14" t="n"/>
    </row>
    <row r="146">
      <c r="A146" s="14" t="n"/>
      <c r="B146" s="14" t="n"/>
      <c r="C146" s="14" t="n"/>
      <c r="D146" s="15">
        <f>IF(B146=3,"control",IF(B146=4,"experimental",""))</f>
        <v/>
      </c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5">
        <f>IF(IF($B$7="literal",SUMPRODUCT(COUNTIF(F146:O146,'Conversión'!$A$5:$A$8)),COUNTIFS(F146:O146,"&gt;=0",F146:O146,"&lt;=20"))=0,"",IF($B$7="literal",SUMPRODUCT(COUNTIF(F146:O146,'Conversión'!$A$5:$A$8)),COUNTIFS(F146:O146,"&gt;=0",F146:O146,"&lt;=20")))</f>
        <v/>
      </c>
      <c r="Q146" s="15">
        <f>IF(P146="","",IF($B$7="literal",SUMPRODUCT(COUNTIF(F146:O146,'Conversión'!$A$5:$A$8)*'Conversión'!$B$5:$B$8),SUMIFS(F146:O146,F146:O146,"&gt;=0",F146:O146,"&lt;=20")))</f>
        <v/>
      </c>
      <c r="R146" s="15">
        <f>IF(P146="","",ROUND(Q146/P146,2))</f>
        <v/>
      </c>
      <c r="S146" s="14" t="n"/>
      <c r="T146" s="14" t="n"/>
      <c r="U146" s="14" t="n"/>
      <c r="V146" s="14" t="n"/>
      <c r="W146" s="14" t="n"/>
    </row>
    <row r="147">
      <c r="A147" s="14" t="n"/>
      <c r="B147" s="14" t="n"/>
      <c r="C147" s="14" t="n"/>
      <c r="D147" s="15">
        <f>IF(B147=3,"control",IF(B147=4,"experimental",""))</f>
        <v/>
      </c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5">
        <f>IF(IF($B$7="literal",SUMPRODUCT(COUNTIF(F147:O147,'Conversión'!$A$5:$A$8)),COUNTIFS(F147:O147,"&gt;=0",F147:O147,"&lt;=20"))=0,"",IF($B$7="literal",SUMPRODUCT(COUNTIF(F147:O147,'Conversión'!$A$5:$A$8)),COUNTIFS(F147:O147,"&gt;=0",F147:O147,"&lt;=20")))</f>
        <v/>
      </c>
      <c r="Q147" s="15">
        <f>IF(P147="","",IF($B$7="literal",SUMPRODUCT(COUNTIF(F147:O147,'Conversión'!$A$5:$A$8)*'Conversión'!$B$5:$B$8),SUMIFS(F147:O147,F147:O147,"&gt;=0",F147:O147,"&lt;=20")))</f>
        <v/>
      </c>
      <c r="R147" s="15">
        <f>IF(P147="","",ROUND(Q147/P147,2))</f>
        <v/>
      </c>
      <c r="S147" s="14" t="n"/>
      <c r="T147" s="14" t="n"/>
      <c r="U147" s="14" t="n"/>
      <c r="V147" s="14" t="n"/>
      <c r="W147" s="14" t="n"/>
    </row>
    <row r="148">
      <c r="A148" s="14" t="n"/>
      <c r="B148" s="14" t="n"/>
      <c r="C148" s="14" t="n"/>
      <c r="D148" s="15">
        <f>IF(B148=3,"control",IF(B148=4,"experimental",""))</f>
        <v/>
      </c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5">
        <f>IF(IF($B$7="literal",SUMPRODUCT(COUNTIF(F148:O148,'Conversión'!$A$5:$A$8)),COUNTIFS(F148:O148,"&gt;=0",F148:O148,"&lt;=20"))=0,"",IF($B$7="literal",SUMPRODUCT(COUNTIF(F148:O148,'Conversión'!$A$5:$A$8)),COUNTIFS(F148:O148,"&gt;=0",F148:O148,"&lt;=20")))</f>
        <v/>
      </c>
      <c r="Q148" s="15">
        <f>IF(P148="","",IF($B$7="literal",SUMPRODUCT(COUNTIF(F148:O148,'Conversión'!$A$5:$A$8)*'Conversión'!$B$5:$B$8),SUMIFS(F148:O148,F148:O148,"&gt;=0",F148:O148,"&lt;=20")))</f>
        <v/>
      </c>
      <c r="R148" s="15">
        <f>IF(P148="","",ROUND(Q148/P148,2))</f>
        <v/>
      </c>
      <c r="S148" s="14" t="n"/>
      <c r="T148" s="14" t="n"/>
      <c r="U148" s="14" t="n"/>
      <c r="V148" s="14" t="n"/>
      <c r="W148" s="14" t="n"/>
    </row>
    <row r="149">
      <c r="A149" s="14" t="n"/>
      <c r="B149" s="14" t="n"/>
      <c r="C149" s="14" t="n"/>
      <c r="D149" s="15">
        <f>IF(B149=3,"control",IF(B149=4,"experimental",""))</f>
        <v/>
      </c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5">
        <f>IF(IF($B$7="literal",SUMPRODUCT(COUNTIF(F149:O149,'Conversión'!$A$5:$A$8)),COUNTIFS(F149:O149,"&gt;=0",F149:O149,"&lt;=20"))=0,"",IF($B$7="literal",SUMPRODUCT(COUNTIF(F149:O149,'Conversión'!$A$5:$A$8)),COUNTIFS(F149:O149,"&gt;=0",F149:O149,"&lt;=20")))</f>
        <v/>
      </c>
      <c r="Q149" s="15">
        <f>IF(P149="","",IF($B$7="literal",SUMPRODUCT(COUNTIF(F149:O149,'Conversión'!$A$5:$A$8)*'Conversión'!$B$5:$B$8),SUMIFS(F149:O149,F149:O149,"&gt;=0",F149:O149,"&lt;=20")))</f>
        <v/>
      </c>
      <c r="R149" s="15">
        <f>IF(P149="","",ROUND(Q149/P149,2))</f>
        <v/>
      </c>
      <c r="S149" s="14" t="n"/>
      <c r="T149" s="14" t="n"/>
      <c r="U149" s="14" t="n"/>
      <c r="V149" s="14" t="n"/>
      <c r="W149" s="14" t="n"/>
    </row>
    <row r="150">
      <c r="A150" s="14" t="n"/>
      <c r="B150" s="14" t="n"/>
      <c r="C150" s="14" t="n"/>
      <c r="D150" s="15">
        <f>IF(B150=3,"control",IF(B150=4,"experimental",""))</f>
        <v/>
      </c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5">
        <f>IF(IF($B$7="literal",SUMPRODUCT(COUNTIF(F150:O150,'Conversión'!$A$5:$A$8)),COUNTIFS(F150:O150,"&gt;=0",F150:O150,"&lt;=20"))=0,"",IF($B$7="literal",SUMPRODUCT(COUNTIF(F150:O150,'Conversión'!$A$5:$A$8)),COUNTIFS(F150:O150,"&gt;=0",F150:O150,"&lt;=20")))</f>
        <v/>
      </c>
      <c r="Q150" s="15">
        <f>IF(P150="","",IF($B$7="literal",SUMPRODUCT(COUNTIF(F150:O150,'Conversión'!$A$5:$A$8)*'Conversión'!$B$5:$B$8),SUMIFS(F150:O150,F150:O150,"&gt;=0",F150:O150,"&lt;=20")))</f>
        <v/>
      </c>
      <c r="R150" s="15">
        <f>IF(P150="","",ROUND(Q150/P150,2))</f>
        <v/>
      </c>
      <c r="S150" s="14" t="n"/>
      <c r="T150" s="14" t="n"/>
      <c r="U150" s="14" t="n"/>
      <c r="V150" s="14" t="n"/>
      <c r="W150" s="14" t="n"/>
    </row>
    <row r="151">
      <c r="A151" s="14" t="n"/>
      <c r="B151" s="14" t="n"/>
      <c r="C151" s="14" t="n"/>
      <c r="D151" s="15">
        <f>IF(B151=3,"control",IF(B151=4,"experimental",""))</f>
        <v/>
      </c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5">
        <f>IF(IF($B$7="literal",SUMPRODUCT(COUNTIF(F151:O151,'Conversión'!$A$5:$A$8)),COUNTIFS(F151:O151,"&gt;=0",F151:O151,"&lt;=20"))=0,"",IF($B$7="literal",SUMPRODUCT(COUNTIF(F151:O151,'Conversión'!$A$5:$A$8)),COUNTIFS(F151:O151,"&gt;=0",F151:O151,"&lt;=20")))</f>
        <v/>
      </c>
      <c r="Q151" s="15">
        <f>IF(P151="","",IF($B$7="literal",SUMPRODUCT(COUNTIF(F151:O151,'Conversión'!$A$5:$A$8)*'Conversión'!$B$5:$B$8),SUMIFS(F151:O151,F151:O151,"&gt;=0",F151:O151,"&lt;=20")))</f>
        <v/>
      </c>
      <c r="R151" s="15">
        <f>IF(P151="","",ROUND(Q151/P151,2))</f>
        <v/>
      </c>
      <c r="S151" s="14" t="n"/>
      <c r="T151" s="14" t="n"/>
      <c r="U151" s="14" t="n"/>
      <c r="V151" s="14" t="n"/>
      <c r="W151" s="14" t="n"/>
    </row>
    <row r="152">
      <c r="A152" s="14" t="n"/>
      <c r="B152" s="14" t="n"/>
      <c r="C152" s="14" t="n"/>
      <c r="D152" s="15">
        <f>IF(B152=3,"control",IF(B152=4,"experimental",""))</f>
        <v/>
      </c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5">
        <f>IF(IF($B$7="literal",SUMPRODUCT(COUNTIF(F152:O152,'Conversión'!$A$5:$A$8)),COUNTIFS(F152:O152,"&gt;=0",F152:O152,"&lt;=20"))=0,"",IF($B$7="literal",SUMPRODUCT(COUNTIF(F152:O152,'Conversión'!$A$5:$A$8)),COUNTIFS(F152:O152,"&gt;=0",F152:O152,"&lt;=20")))</f>
        <v/>
      </c>
      <c r="Q152" s="15">
        <f>IF(P152="","",IF($B$7="literal",SUMPRODUCT(COUNTIF(F152:O152,'Conversión'!$A$5:$A$8)*'Conversión'!$B$5:$B$8),SUMIFS(F152:O152,F152:O152,"&gt;=0",F152:O152,"&lt;=20")))</f>
        <v/>
      </c>
      <c r="R152" s="15">
        <f>IF(P152="","",ROUND(Q152/P152,2))</f>
        <v/>
      </c>
      <c r="S152" s="14" t="n"/>
      <c r="T152" s="14" t="n"/>
      <c r="U152" s="14" t="n"/>
      <c r="V152" s="14" t="n"/>
      <c r="W152" s="14" t="n"/>
    </row>
    <row r="153">
      <c r="A153" s="14" t="n"/>
      <c r="B153" s="14" t="n"/>
      <c r="C153" s="14" t="n"/>
      <c r="D153" s="15">
        <f>IF(B153=3,"control",IF(B153=4,"experimental",""))</f>
        <v/>
      </c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5">
        <f>IF(IF($B$7="literal",SUMPRODUCT(COUNTIF(F153:O153,'Conversión'!$A$5:$A$8)),COUNTIFS(F153:O153,"&gt;=0",F153:O153,"&lt;=20"))=0,"",IF($B$7="literal",SUMPRODUCT(COUNTIF(F153:O153,'Conversión'!$A$5:$A$8)),COUNTIFS(F153:O153,"&gt;=0",F153:O153,"&lt;=20")))</f>
        <v/>
      </c>
      <c r="Q153" s="15">
        <f>IF(P153="","",IF($B$7="literal",SUMPRODUCT(COUNTIF(F153:O153,'Conversión'!$A$5:$A$8)*'Conversión'!$B$5:$B$8),SUMIFS(F153:O153,F153:O153,"&gt;=0",F153:O153,"&lt;=20")))</f>
        <v/>
      </c>
      <c r="R153" s="15">
        <f>IF(P153="","",ROUND(Q153/P153,2))</f>
        <v/>
      </c>
      <c r="S153" s="14" t="n"/>
      <c r="T153" s="14" t="n"/>
      <c r="U153" s="14" t="n"/>
      <c r="V153" s="14" t="n"/>
      <c r="W153" s="14" t="n"/>
    </row>
    <row r="154">
      <c r="A154" s="14" t="n"/>
      <c r="B154" s="14" t="n"/>
      <c r="C154" s="14" t="n"/>
      <c r="D154" s="15">
        <f>IF(B154=3,"control",IF(B154=4,"experimental",""))</f>
        <v/>
      </c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5">
        <f>IF(IF($B$7="literal",SUMPRODUCT(COUNTIF(F154:O154,'Conversión'!$A$5:$A$8)),COUNTIFS(F154:O154,"&gt;=0",F154:O154,"&lt;=20"))=0,"",IF($B$7="literal",SUMPRODUCT(COUNTIF(F154:O154,'Conversión'!$A$5:$A$8)),COUNTIFS(F154:O154,"&gt;=0",F154:O154,"&lt;=20")))</f>
        <v/>
      </c>
      <c r="Q154" s="15">
        <f>IF(P154="","",IF($B$7="literal",SUMPRODUCT(COUNTIF(F154:O154,'Conversión'!$A$5:$A$8)*'Conversión'!$B$5:$B$8),SUMIFS(F154:O154,F154:O154,"&gt;=0",F154:O154,"&lt;=20")))</f>
        <v/>
      </c>
      <c r="R154" s="15">
        <f>IF(P154="","",ROUND(Q154/P154,2))</f>
        <v/>
      </c>
      <c r="S154" s="14" t="n"/>
      <c r="T154" s="14" t="n"/>
      <c r="U154" s="14" t="n"/>
      <c r="V154" s="14" t="n"/>
      <c r="W154" s="14" t="n"/>
    </row>
    <row r="155">
      <c r="A155" s="14" t="n"/>
      <c r="B155" s="14" t="n"/>
      <c r="C155" s="14" t="n"/>
      <c r="D155" s="15">
        <f>IF(B155=3,"control",IF(B155=4,"experimental",""))</f>
        <v/>
      </c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5">
        <f>IF(IF($B$7="literal",SUMPRODUCT(COUNTIF(F155:O155,'Conversión'!$A$5:$A$8)),COUNTIFS(F155:O155,"&gt;=0",F155:O155,"&lt;=20"))=0,"",IF($B$7="literal",SUMPRODUCT(COUNTIF(F155:O155,'Conversión'!$A$5:$A$8)),COUNTIFS(F155:O155,"&gt;=0",F155:O155,"&lt;=20")))</f>
        <v/>
      </c>
      <c r="Q155" s="15">
        <f>IF(P155="","",IF($B$7="literal",SUMPRODUCT(COUNTIF(F155:O155,'Conversión'!$A$5:$A$8)*'Conversión'!$B$5:$B$8),SUMIFS(F155:O155,F155:O155,"&gt;=0",F155:O155,"&lt;=20")))</f>
        <v/>
      </c>
      <c r="R155" s="15">
        <f>IF(P155="","",ROUND(Q155/P155,2))</f>
        <v/>
      </c>
      <c r="S155" s="14" t="n"/>
      <c r="T155" s="14" t="n"/>
      <c r="U155" s="14" t="n"/>
      <c r="V155" s="14" t="n"/>
      <c r="W155" s="14" t="n"/>
    </row>
    <row r="156">
      <c r="A156" s="14" t="n"/>
      <c r="B156" s="14" t="n"/>
      <c r="C156" s="14" t="n"/>
      <c r="D156" s="15">
        <f>IF(B156=3,"control",IF(B156=4,"experimental",""))</f>
        <v/>
      </c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5">
        <f>IF(IF($B$7="literal",SUMPRODUCT(COUNTIF(F156:O156,'Conversión'!$A$5:$A$8)),COUNTIFS(F156:O156,"&gt;=0",F156:O156,"&lt;=20"))=0,"",IF($B$7="literal",SUMPRODUCT(COUNTIF(F156:O156,'Conversión'!$A$5:$A$8)),COUNTIFS(F156:O156,"&gt;=0",F156:O156,"&lt;=20")))</f>
        <v/>
      </c>
      <c r="Q156" s="15">
        <f>IF(P156="","",IF($B$7="literal",SUMPRODUCT(COUNTIF(F156:O156,'Conversión'!$A$5:$A$8)*'Conversión'!$B$5:$B$8),SUMIFS(F156:O156,F156:O156,"&gt;=0",F156:O156,"&lt;=20")))</f>
        <v/>
      </c>
      <c r="R156" s="15">
        <f>IF(P156="","",ROUND(Q156/P156,2))</f>
        <v/>
      </c>
      <c r="S156" s="14" t="n"/>
      <c r="T156" s="14" t="n"/>
      <c r="U156" s="14" t="n"/>
      <c r="V156" s="14" t="n"/>
      <c r="W156" s="14" t="n"/>
    </row>
    <row r="157">
      <c r="A157" s="14" t="n"/>
      <c r="B157" s="14" t="n"/>
      <c r="C157" s="14" t="n"/>
      <c r="D157" s="15">
        <f>IF(B157=3,"control",IF(B157=4,"experimental",""))</f>
        <v/>
      </c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5">
        <f>IF(IF($B$7="literal",SUMPRODUCT(COUNTIF(F157:O157,'Conversión'!$A$5:$A$8)),COUNTIFS(F157:O157,"&gt;=0",F157:O157,"&lt;=20"))=0,"",IF($B$7="literal",SUMPRODUCT(COUNTIF(F157:O157,'Conversión'!$A$5:$A$8)),COUNTIFS(F157:O157,"&gt;=0",F157:O157,"&lt;=20")))</f>
        <v/>
      </c>
      <c r="Q157" s="15">
        <f>IF(P157="","",IF($B$7="literal",SUMPRODUCT(COUNTIF(F157:O157,'Conversión'!$A$5:$A$8)*'Conversión'!$B$5:$B$8),SUMIFS(F157:O157,F157:O157,"&gt;=0",F157:O157,"&lt;=20")))</f>
        <v/>
      </c>
      <c r="R157" s="15">
        <f>IF(P157="","",ROUND(Q157/P157,2))</f>
        <v/>
      </c>
      <c r="S157" s="14" t="n"/>
      <c r="T157" s="14" t="n"/>
      <c r="U157" s="14" t="n"/>
      <c r="V157" s="14" t="n"/>
      <c r="W157" s="14" t="n"/>
    </row>
    <row r="158">
      <c r="A158" s="14" t="n"/>
      <c r="B158" s="14" t="n"/>
      <c r="C158" s="14" t="n"/>
      <c r="D158" s="15">
        <f>IF(B158=3,"control",IF(B158=4,"experimental",""))</f>
        <v/>
      </c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5">
        <f>IF(IF($B$7="literal",SUMPRODUCT(COUNTIF(F158:O158,'Conversión'!$A$5:$A$8)),COUNTIFS(F158:O158,"&gt;=0",F158:O158,"&lt;=20"))=0,"",IF($B$7="literal",SUMPRODUCT(COUNTIF(F158:O158,'Conversión'!$A$5:$A$8)),COUNTIFS(F158:O158,"&gt;=0",F158:O158,"&lt;=20")))</f>
        <v/>
      </c>
      <c r="Q158" s="15">
        <f>IF(P158="","",IF($B$7="literal",SUMPRODUCT(COUNTIF(F158:O158,'Conversión'!$A$5:$A$8)*'Conversión'!$B$5:$B$8),SUMIFS(F158:O158,F158:O158,"&gt;=0",F158:O158,"&lt;=20")))</f>
        <v/>
      </c>
      <c r="R158" s="15">
        <f>IF(P158="","",ROUND(Q158/P158,2))</f>
        <v/>
      </c>
      <c r="S158" s="14" t="n"/>
      <c r="T158" s="14" t="n"/>
      <c r="U158" s="14" t="n"/>
      <c r="V158" s="14" t="n"/>
      <c r="W158" s="14" t="n"/>
    </row>
    <row r="159">
      <c r="A159" s="14" t="n"/>
      <c r="B159" s="14" t="n"/>
      <c r="C159" s="14" t="n"/>
      <c r="D159" s="15">
        <f>IF(B159=3,"control",IF(B159=4,"experimental",""))</f>
        <v/>
      </c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5">
        <f>IF(IF($B$7="literal",SUMPRODUCT(COUNTIF(F159:O159,'Conversión'!$A$5:$A$8)),COUNTIFS(F159:O159,"&gt;=0",F159:O159,"&lt;=20"))=0,"",IF($B$7="literal",SUMPRODUCT(COUNTIF(F159:O159,'Conversión'!$A$5:$A$8)),COUNTIFS(F159:O159,"&gt;=0",F159:O159,"&lt;=20")))</f>
        <v/>
      </c>
      <c r="Q159" s="15">
        <f>IF(P159="","",IF($B$7="literal",SUMPRODUCT(COUNTIF(F159:O159,'Conversión'!$A$5:$A$8)*'Conversión'!$B$5:$B$8),SUMIFS(F159:O159,F159:O159,"&gt;=0",F159:O159,"&lt;=20")))</f>
        <v/>
      </c>
      <c r="R159" s="15">
        <f>IF(P159="","",ROUND(Q159/P159,2))</f>
        <v/>
      </c>
      <c r="S159" s="14" t="n"/>
      <c r="T159" s="14" t="n"/>
      <c r="U159" s="14" t="n"/>
      <c r="V159" s="14" t="n"/>
      <c r="W159" s="1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9:W159"/>
  <conditionalFormatting sqref="A10:A159">
    <cfRule type="expression" priority="1" dxfId="0">
      <formula>AND($A10&lt;&gt;"",A10="")</formula>
    </cfRule>
  </conditionalFormatting>
  <conditionalFormatting sqref="B10:B159">
    <cfRule type="expression" priority="2" dxfId="0">
      <formula>AND($A10&lt;&gt;"",B10="")</formula>
    </cfRule>
  </conditionalFormatting>
  <conditionalFormatting sqref="C10:C159">
    <cfRule type="expression" priority="3" dxfId="0">
      <formula>AND($A10&lt;&gt;"",C10="")</formula>
    </cfRule>
  </conditionalFormatting>
  <conditionalFormatting sqref="E10:E159">
    <cfRule type="expression" priority="4" dxfId="0">
      <formula>AND($A10&lt;&gt;"",E10="")</formula>
    </cfRule>
  </conditionalFormatting>
  <conditionalFormatting sqref="S10:S159">
    <cfRule type="expression" priority="5" dxfId="0">
      <formula>AND($A10&lt;&gt;"",S10="")</formula>
    </cfRule>
  </conditionalFormatting>
  <conditionalFormatting sqref="V10:V159">
    <cfRule type="expression" priority="6" dxfId="0">
      <formula>AND($U10="sí",V10="")</formula>
    </cfRule>
  </conditionalFormatting>
  <conditionalFormatting sqref="F10:F159">
    <cfRule type="expression" priority="7" dxfId="1">
      <formula>AND(F10&lt;&gt;"",NOT(IF($B$7="literal",OR(F10="AD",F10="A",F10="B",F10="C"),AND(ISNUMBER(F10),F10&gt;=0,F10&lt;=20))))</formula>
    </cfRule>
  </conditionalFormatting>
  <conditionalFormatting sqref="G10:G159">
    <cfRule type="expression" priority="8" dxfId="1">
      <formula>AND(G10&lt;&gt;"",NOT(IF($B$7="literal",OR(G10="AD",G10="A",G10="B",G10="C"),AND(ISNUMBER(G10),G10&gt;=0,G10&lt;=20))))</formula>
    </cfRule>
  </conditionalFormatting>
  <conditionalFormatting sqref="H10:H159">
    <cfRule type="expression" priority="9" dxfId="1">
      <formula>AND(H10&lt;&gt;"",NOT(IF($B$7="literal",OR(H10="AD",H10="A",H10="B",H10="C"),AND(ISNUMBER(H10),H10&gt;=0,H10&lt;=20))))</formula>
    </cfRule>
  </conditionalFormatting>
  <conditionalFormatting sqref="I10:I159">
    <cfRule type="expression" priority="10" dxfId="1">
      <formula>AND(I10&lt;&gt;"",NOT(IF($B$7="literal",OR(I10="AD",I10="A",I10="B",I10="C"),AND(ISNUMBER(I10),I10&gt;=0,I10&lt;=20))))</formula>
    </cfRule>
  </conditionalFormatting>
  <conditionalFormatting sqref="J10:J159">
    <cfRule type="expression" priority="11" dxfId="1">
      <formula>AND(J10&lt;&gt;"",NOT(IF($B$7="literal",OR(J10="AD",J10="A",J10="B",J10="C"),AND(ISNUMBER(J10),J10&gt;=0,J10&lt;=20))))</formula>
    </cfRule>
  </conditionalFormatting>
  <conditionalFormatting sqref="K10:K159">
    <cfRule type="expression" priority="12" dxfId="1">
      <formula>AND(K10&lt;&gt;"",NOT(IF($B$7="literal",OR(K10="AD",K10="A",K10="B",K10="C"),AND(ISNUMBER(K10),K10&gt;=0,K10&lt;=20))))</formula>
    </cfRule>
  </conditionalFormatting>
  <conditionalFormatting sqref="L10:L159">
    <cfRule type="expression" priority="13" dxfId="1">
      <formula>AND(L10&lt;&gt;"",NOT(IF($B$7="literal",OR(L10="AD",L10="A",L10="B",L10="C"),AND(ISNUMBER(L10),L10&gt;=0,L10&lt;=20))))</formula>
    </cfRule>
  </conditionalFormatting>
  <conditionalFormatting sqref="M10:M159">
    <cfRule type="expression" priority="14" dxfId="1">
      <formula>AND(M10&lt;&gt;"",NOT(IF($B$7="literal",OR(M10="AD",M10="A",M10="B",M10="C"),AND(ISNUMBER(M10),M10&gt;=0,M10&lt;=20))))</formula>
    </cfRule>
  </conditionalFormatting>
  <conditionalFormatting sqref="N10:N159">
    <cfRule type="expression" priority="15" dxfId="1">
      <formula>AND(N10&lt;&gt;"",NOT(IF($B$7="literal",OR(N10="AD",N10="A",N10="B",N10="C"),AND(ISNUMBER(N10),N10&gt;=0,N10&lt;=20))))</formula>
    </cfRule>
  </conditionalFormatting>
  <conditionalFormatting sqref="O10:O159">
    <cfRule type="expression" priority="16" dxfId="1">
      <formula>AND(O10&lt;&gt;"",NOT(IF($B$7="literal",OR(O10="AD",O10="A",O10="B",O10="C"),AND(ISNUMBER(O10),O10&gt;=0,O10&lt;=20))))</formula>
    </cfRule>
  </conditionalFormatting>
  <dataValidations count="21">
    <dataValidation sqref="B2" showDropDown="0" showInputMessage="0" showErrorMessage="1" allowBlank="1" errorTitle="Valor no válido" error="Año entre 2024 y 2026." type="whole" operator="between">
      <formula1>2024</formula1>
      <formula2>2026</formula2>
    </dataValidation>
    <dataValidation sqref="B3" showDropDown="0" showInputMessage="0" showErrorMessage="1" allowBlank="1" errorTitle="Valor no válido" error="El corte es el I bimestre." type="list">
      <formula1>"I bimestre"</formula1>
    </dataValidation>
    <dataValidation sqref="B7" showDropDown="0" showInputMessage="0" showErrorMessage="1" allowBlank="1" errorTitle="Valor no válido" error="Elija una." type="list">
      <formula1>"vigesimal,literal"</formula1>
    </dataValidation>
    <dataValidation sqref="A10:A159" showDropDown="0" showInputMessage="0" showErrorMessage="1" allowBlank="1" errorTitle="Valor no válido" error="Use el formato EST-001 (sin nombres ni DNI)." type="custom">
      <formula1>AND(LEN(A10)=7,LEFT(A10,4)="EST-",ISNUMBER(VALUE(RIGHT(A10,3))))</formula1>
    </dataValidation>
    <dataValidation sqref="B10:B159" showDropDown="0" showInputMessage="0" showErrorMessage="1" allowBlank="1" errorTitle="Valor no válido" error="El grado debe ser 3 o 4." type="whole" operator="between">
      <formula1>3</formula1>
      <formula2>4</formula2>
    </dataValidation>
    <dataValidation sqref="C10:C159" showDropDown="0" showInputMessage="0" showErrorMessage="1" allowBlank="1" errorTitle="Valor no válido" error="La sección tiene 1 o 2 caracteres (ej. A)." type="textLength" operator="between">
      <formula1>1</formula1>
      <formula2>2</formula2>
    </dataValidation>
    <dataValidation sqref="E10:E159" showDropDown="0" showInputMessage="0" showErrorMessage="1" allowBlank="1" errorTitle="Valor no válido" error="Elija pre o post." type="list">
      <formula1>"pre,post"</formula1>
    </dataValidation>
    <dataValidation sqref="F10:F159" showDropDown="0" showInputMessage="0" showErrorMessage="1" allowBlank="1" errorTitle="Valor no válido" error="Vigesimal: número de 0 a 20. Literal: AD, A, B o C." type="custom">
      <formula1>IF($B$7="literal",OR(F10="AD",F10="A",F10="B",F10="C"),AND(ISNUMBER(F10),F10&gt;=0,F10&lt;=20))</formula1>
    </dataValidation>
    <dataValidation sqref="G10:G159" showDropDown="0" showInputMessage="0" showErrorMessage="1" allowBlank="1" errorTitle="Valor no válido" error="Vigesimal: número de 0 a 20. Literal: AD, A, B o C." type="custom">
      <formula1>IF($B$7="literal",OR(G10="AD",G10="A",G10="B",G10="C"),AND(ISNUMBER(G10),G10&gt;=0,G10&lt;=20))</formula1>
    </dataValidation>
    <dataValidation sqref="H10:H159" showDropDown="0" showInputMessage="0" showErrorMessage="1" allowBlank="1" errorTitle="Valor no válido" error="Vigesimal: número de 0 a 20. Literal: AD, A, B o C." type="custom">
      <formula1>IF($B$7="literal",OR(H10="AD",H10="A",H10="B",H10="C"),AND(ISNUMBER(H10),H10&gt;=0,H10&lt;=20))</formula1>
    </dataValidation>
    <dataValidation sqref="I10:I159" showDropDown="0" showInputMessage="0" showErrorMessage="1" allowBlank="1" errorTitle="Valor no válido" error="Vigesimal: número de 0 a 20. Literal: AD, A, B o C." type="custom">
      <formula1>IF($B$7="literal",OR(I10="AD",I10="A",I10="B",I10="C"),AND(ISNUMBER(I10),I10&gt;=0,I10&lt;=20))</formula1>
    </dataValidation>
    <dataValidation sqref="J10:J159" showDropDown="0" showInputMessage="0" showErrorMessage="1" allowBlank="1" errorTitle="Valor no válido" error="Vigesimal: número de 0 a 20. Literal: AD, A, B o C." type="custom">
      <formula1>IF($B$7="literal",OR(J10="AD",J10="A",J10="B",J10="C"),AND(ISNUMBER(J10),J10&gt;=0,J10&lt;=20))</formula1>
    </dataValidation>
    <dataValidation sqref="K10:K159" showDropDown="0" showInputMessage="0" showErrorMessage="1" allowBlank="1" errorTitle="Valor no válido" error="Vigesimal: número de 0 a 20. Literal: AD, A, B o C." type="custom">
      <formula1>IF($B$7="literal",OR(K10="AD",K10="A",K10="B",K10="C"),AND(ISNUMBER(K10),K10&gt;=0,K10&lt;=20))</formula1>
    </dataValidation>
    <dataValidation sqref="L10:L159" showDropDown="0" showInputMessage="0" showErrorMessage="1" allowBlank="1" errorTitle="Valor no válido" error="Vigesimal: número de 0 a 20. Literal: AD, A, B o C." type="custom">
      <formula1>IF($B$7="literal",OR(L10="AD",L10="A",L10="B",L10="C"),AND(ISNUMBER(L10),L10&gt;=0,L10&lt;=20))</formula1>
    </dataValidation>
    <dataValidation sqref="M10:M159" showDropDown="0" showInputMessage="0" showErrorMessage="1" allowBlank="1" errorTitle="Valor no válido" error="Vigesimal: número de 0 a 20. Literal: AD, A, B o C." type="custom">
      <formula1>IF($B$7="literal",OR(M10="AD",M10="A",M10="B",M10="C"),AND(ISNUMBER(M10),M10&gt;=0,M10&lt;=20))</formula1>
    </dataValidation>
    <dataValidation sqref="N10:N159" showDropDown="0" showInputMessage="0" showErrorMessage="1" allowBlank="1" errorTitle="Valor no válido" error="Vigesimal: número de 0 a 20. Literal: AD, A, B o C." type="custom">
      <formula1>IF($B$7="literal",OR(N10="AD",N10="A",N10="B",N10="C"),AND(ISNUMBER(N10),N10&gt;=0,N10&lt;=20))</formula1>
    </dataValidation>
    <dataValidation sqref="O10:O159" showDropDown="0" showInputMessage="0" showErrorMessage="1" allowBlank="1" errorTitle="Valor no válido" error="Vigesimal: número de 0 a 20. Literal: AD, A, B o C." type="custom">
      <formula1>IF($B$7="literal",OR(O10="AD",O10="A",O10="B",O10="C"),AND(ISNUMBER(O10),O10&gt;=0,O10&lt;=20))</formula1>
    </dataValidation>
    <dataValidation sqref="S10:S159" showDropDown="0" showInputMessage="0" showErrorMessage="1" allowBlank="1" errorTitle="Valor no válido" error="El año debe estar entre 2024 y 2026." type="whole" operator="between">
      <formula1>2024</formula1>
      <formula2>2026</formula2>
    </dataValidation>
    <dataValidation sqref="T10:T159" showDropDown="0" showInputMessage="0" showErrorMessage="1" allowBlank="1" errorTitle="Valor no válido" error="Use 1 (desertó) o 0 (no desertó)." type="whole" operator="between">
      <formula1>0</formula1>
      <formula2>1</formula2>
    </dataValidation>
    <dataValidation sqref="U10:U159" showDropDown="0" showInputMessage="0" showErrorMessage="1" allowBlank="1" errorTitle="Valor no válido" error="Elija sí o no." type="list">
      <formula1>"sí,no"</formula1>
    </dataValidation>
    <dataValidation sqref="V10:V159" showDropDown="0" showInputMessage="0" showErrorMessage="1" allowBlank="1" errorTitle="Valor no válido" error="Elija un motivo de la lista." type="list">
      <formula1>"traslado definitivo,dimensión incompleta,registro inconsistente"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3" max="3"/>
  </cols>
  <sheetData>
    <row r="1">
      <c r="A1" s="1" t="inlineStr">
        <is>
          <t>Conversión de escala literal a numérica</t>
        </is>
      </c>
    </row>
    <row r="2">
      <c r="A2" s="16" t="inlineStr">
        <is>
          <t>PROVISIONAL (decisión D1): se confirma con la IE y se justifica en la tesis. Escala literal de EBR según RVM N.° 094-2020-MINEDU.</t>
        </is>
      </c>
    </row>
    <row r="4">
      <c r="A4" s="5" t="inlineStr">
        <is>
          <t>Literal</t>
        </is>
      </c>
      <c r="B4" s="5" t="inlineStr">
        <is>
          <t>Valor</t>
        </is>
      </c>
      <c r="C4" s="5" t="inlineStr">
        <is>
          <t>Descripción</t>
        </is>
      </c>
    </row>
    <row r="5">
      <c r="A5" t="inlineStr">
        <is>
          <t>AD</t>
        </is>
      </c>
      <c r="B5" t="n">
        <v>4</v>
      </c>
      <c r="C5" t="inlineStr">
        <is>
          <t>Logro destacado</t>
        </is>
      </c>
    </row>
    <row r="6">
      <c r="A6" t="inlineStr">
        <is>
          <t>A</t>
        </is>
      </c>
      <c r="B6" t="n">
        <v>3</v>
      </c>
      <c r="C6" t="inlineStr">
        <is>
          <t>Logro esperado</t>
        </is>
      </c>
    </row>
    <row r="7">
      <c r="A7" t="inlineStr">
        <is>
          <t>B</t>
        </is>
      </c>
      <c r="B7" t="n">
        <v>2</v>
      </c>
      <c r="C7" t="inlineStr">
        <is>
          <t>En proceso</t>
        </is>
      </c>
    </row>
    <row r="8">
      <c r="A8" t="inlineStr">
        <is>
          <t>C</t>
        </is>
      </c>
      <c r="B8" t="n">
        <v>1</v>
      </c>
      <c r="C8" t="inlineStr">
        <is>
          <t>En inicio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2026-09-24T07:04:42Z</dcterms:created>
  <dcterms:modified xsi:type="dcterms:W3CDTF">2026-09-24T07:04:43Z</dcterms:modified>
</cp:coreProperties>
</file>