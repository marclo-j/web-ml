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Datos" sheetId="2" state="visible" r:id="rId2"/>
  </sheets>
  <definedNames>
    <definedName name="_xlnm._FilterDatabase" localSheetId="1" hidden="1">'Datos'!$A$9:$W$79</definedName>
    <definedName name="_xlnm.Print_Titles" localSheetId="1">'Datos'!$9:$9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1F4E78"/>
    </font>
    <font>
      <b val="1"/>
    </font>
    <font>
      <b val="1"/>
      <color rgb="00FFFFFF"/>
    </font>
    <font>
      <b val="1"/>
      <color rgb="001F4E78"/>
    </font>
    <font>
      <i val="1"/>
      <sz val="9"/>
    </font>
    <font>
      <b val="1"/>
      <color rgb="00C00000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6" borderId="1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36" customWidth="1" min="4" max="4"/>
  </cols>
  <sheetData>
    <row r="1">
      <c r="A1" s="1" t="inlineStr">
        <is>
          <t>Ficha 1 — Rendimiento académico</t>
        </is>
      </c>
    </row>
    <row r="3" ht="15" customHeight="1">
      <c r="A3" s="2" t="inlineStr">
        <is>
          <t>Dimensión</t>
        </is>
      </c>
      <c r="B3" s="3" t="inlineStr">
        <is>
          <t>Rendimiento académico</t>
        </is>
      </c>
    </row>
    <row r="4" ht="15" customHeight="1">
      <c r="A4" s="2" t="inlineStr">
        <is>
          <t>Indicador</t>
        </is>
      </c>
      <c r="B4" s="3" t="inlineStr">
        <is>
          <t>Promedio de calificaciones</t>
        </is>
      </c>
    </row>
    <row r="5" ht="15" customHeight="1">
      <c r="A5" s="2" t="inlineStr">
        <is>
          <t>Fórmula (tesis)</t>
        </is>
      </c>
      <c r="B5" s="3" t="inlineStr">
        <is>
          <t>Promedio = Σ Notas / n  ·  Albonny y Duru [1]</t>
        </is>
      </c>
    </row>
    <row r="6" ht="30" customHeight="1">
      <c r="A6" s="2" t="inlineStr">
        <is>
          <t>Periodo de corte</t>
        </is>
      </c>
      <c r="B6" s="3" t="inlineStr">
        <is>
          <t>Datos acumulados hasta el cierre del I bimestre. El mismo corte se usa para el PRE 2026 y para el histórico 2024–2025, para que el modelo no aprenda de la ausencia de quien ya desertó.</t>
        </is>
      </c>
    </row>
    <row r="7" ht="30" customHeight="1">
      <c r="A7" s="2" t="inlineStr">
        <is>
          <t>Privacidad</t>
        </is>
      </c>
      <c r="B7" s="3" t="inlineStr">
        <is>
          <t>Solo códigos EST-###; ningún nombre ni DNI (Ley N.° 29733). La tabla código ↔ nombre la conserva la IE, fuera del sistema. La ficha llena se guarda en data/raw/ y no se sube al repositorio.</t>
        </is>
      </c>
    </row>
    <row r="8" ht="30" customHeight="1">
      <c r="A8" s="2" t="inlineStr">
        <is>
          <t>Exclusión</t>
        </is>
      </c>
      <c r="B8" s="3" t="inlineStr">
        <is>
          <t>Si falta alguna de las 3 dimensiones o hubo traslado definitivo antes del cierre, marque excluido = sí y el motivo. No borre la fila: los excluidos se reportan en Resultados.</t>
        </is>
      </c>
    </row>
    <row r="9" ht="15" customHeight="1">
      <c r="A9" s="2" t="inlineStr">
        <is>
          <t>Colores</t>
        </is>
      </c>
      <c r="B9" s="3" t="inlineStr">
        <is>
          <t>Gris: calculada, no editar. Ámbar: falta un dato obligatorio. Rojo: valor inconsistente.</t>
        </is>
      </c>
    </row>
    <row r="10" ht="75" customHeight="1">
      <c r="A10" s="2" t="inlineStr">
        <is>
          <t>Nota</t>
        </is>
      </c>
      <c r="B10" s="3" t="inlineStr">
        <is>
          <t>Ficha lista para rellenar: código, grado, momento y año ya vienen escritos (celeste, bloqueados). Solo complete las celdas en blanco. Las celdas en ámbar son las que faltan; al llenarlas se vuelven blancas. EST-001 a EST-035 son de 4.° y EST-036 a EST-070 de 3.°: anote en su lista de clase, fuera de este archivo, qué alumno corresponde a cada código y use el mismo código en las 3 fichas y en el PRE y el POST.</t>
        </is>
      </c>
    </row>
    <row r="11" ht="30" customHeight="1">
      <c r="A11" s="2" t="inlineStr">
        <is>
          <t>Nota</t>
        </is>
      </c>
      <c r="B11" s="3" t="inlineStr">
        <is>
          <t>Registre la calificación de cada área al cierre del periodo de corte. Deje vacía el área que no aplique (ej. exoneración); n cuenta solo las notas registradas.</t>
        </is>
      </c>
    </row>
    <row r="12" ht="30" customHeight="1">
      <c r="A12" s="2" t="inlineStr">
        <is>
          <t>Nota</t>
        </is>
      </c>
      <c r="B12" s="3" t="inlineStr">
        <is>
          <t>Escala vigesimal (0 a 20), la que usa la IE. Se admiten decimales. Una nota fuera de 0-20 se marca en rojo y no se cuenta.</t>
        </is>
      </c>
    </row>
    <row r="14">
      <c r="A14" s="4" t="inlineStr">
        <is>
          <t>Diccionario de columnas (hoja Datos)</t>
        </is>
      </c>
    </row>
    <row r="15">
      <c r="A15" s="5" t="inlineStr">
        <is>
          <t>Columna</t>
        </is>
      </c>
      <c r="B15" s="5" t="inlineStr">
        <is>
          <t>Descripción</t>
        </is>
      </c>
      <c r="C15" s="5" t="inlineStr">
        <is>
          <t>Tipo</t>
        </is>
      </c>
      <c r="D15" s="5" t="inlineStr">
        <is>
          <t>Regla</t>
        </is>
      </c>
    </row>
    <row r="16">
      <c r="A16" s="6" t="inlineStr">
        <is>
          <t>codigo</t>
        </is>
      </c>
      <c r="B16" s="6" t="inlineStr">
        <is>
          <t>Código anonimizado del estudiante. Sin nombres ni DNI.</t>
        </is>
      </c>
      <c r="C16" s="6" t="inlineStr">
        <is>
          <t>captura *</t>
        </is>
      </c>
      <c r="D16" s="6" t="inlineStr">
        <is>
          <t>Formato EST-### (ej. EST-001)</t>
        </is>
      </c>
    </row>
    <row r="17">
      <c r="A17" s="6" t="inlineStr">
        <is>
          <t>grado</t>
        </is>
      </c>
      <c r="B17" s="6" t="inlineStr">
        <is>
          <t>Grado de secundaria.</t>
        </is>
      </c>
      <c r="C17" s="6" t="inlineStr">
        <is>
          <t>captura *</t>
        </is>
      </c>
      <c r="D17" s="6" t="inlineStr">
        <is>
          <t>3 o 4</t>
        </is>
      </c>
    </row>
    <row r="18">
      <c r="A18" s="6" t="inlineStr">
        <is>
          <t>seccion</t>
        </is>
      </c>
      <c r="B18" s="6" t="inlineStr">
        <is>
          <t>Sección (ej. A).</t>
        </is>
      </c>
      <c r="C18" s="6" t="inlineStr">
        <is>
          <t>captura *</t>
        </is>
      </c>
      <c r="D18" s="6" t="inlineStr">
        <is>
          <t>1–2 caracteres</t>
        </is>
      </c>
    </row>
    <row r="19">
      <c r="A19" s="7" t="inlineStr">
        <is>
          <t>grupo</t>
        </is>
      </c>
      <c r="B19" s="7" t="inlineStr">
        <is>
          <t>Grupo del diseño cuasiexperimental: 3.° = control, 4.° = experimental.</t>
        </is>
      </c>
      <c r="C19" s="7" t="inlineStr">
        <is>
          <t>calculada</t>
        </is>
      </c>
      <c r="D19" s="7" t="inlineStr">
        <is>
          <t>Se calcula a partir del grado</t>
        </is>
      </c>
    </row>
    <row r="20">
      <c r="A20" s="6" t="inlineStr">
        <is>
          <t>momento</t>
        </is>
      </c>
      <c r="B20" s="6" t="inlineStr">
        <is>
          <t>Momento de la medición.</t>
        </is>
      </c>
      <c r="C20" s="6" t="inlineStr">
        <is>
          <t>captura *</t>
        </is>
      </c>
      <c r="D20" s="6" t="inlineStr">
        <is>
          <t>pre o post</t>
        </is>
      </c>
    </row>
    <row r="21">
      <c r="A21" s="6" t="inlineStr">
        <is>
          <t>matematica</t>
        </is>
      </c>
      <c r="B21" s="6" t="inlineStr">
        <is>
          <t>Nota final del I bimestre en Matemática (0 a 20). Vacío si no aplica (ej. exonerado).</t>
        </is>
      </c>
      <c r="C21" s="6" t="inlineStr">
        <is>
          <t>captura</t>
        </is>
      </c>
      <c r="D21" s="6" t="inlineStr">
        <is>
          <t>0 a 20</t>
        </is>
      </c>
    </row>
    <row r="22">
      <c r="A22" s="6" t="inlineStr">
        <is>
          <t>comunicacion</t>
        </is>
      </c>
      <c r="B22" s="6" t="inlineStr">
        <is>
          <t>Nota final del I bimestre en Comunicación (0 a 20). Vacío si no aplica (ej. exonerado).</t>
        </is>
      </c>
      <c r="C22" s="6" t="inlineStr">
        <is>
          <t>captura</t>
        </is>
      </c>
      <c r="D22" s="6" t="inlineStr">
        <is>
          <t>0 a 20</t>
        </is>
      </c>
    </row>
    <row r="23">
      <c r="A23" s="6" t="inlineStr">
        <is>
          <t>ingles</t>
        </is>
      </c>
      <c r="B23" s="6" t="inlineStr">
        <is>
          <t>Nota final del I bimestre en Inglés como lengua extranjera (0 a 20). Vacío si no aplica (ej. exonerado).</t>
        </is>
      </c>
      <c r="C23" s="6" t="inlineStr">
        <is>
          <t>captura</t>
        </is>
      </c>
      <c r="D23" s="6" t="inlineStr">
        <is>
          <t>0 a 20</t>
        </is>
      </c>
    </row>
    <row r="24">
      <c r="A24" s="6" t="inlineStr">
        <is>
          <t>arte_cultura</t>
        </is>
      </c>
      <c r="B24" s="6" t="inlineStr">
        <is>
          <t>Nota final del I bimestre en Arte y Cultura (0 a 20). Vacío si no aplica (ej. exonerado).</t>
        </is>
      </c>
      <c r="C24" s="6" t="inlineStr">
        <is>
          <t>captura</t>
        </is>
      </c>
      <c r="D24" s="6" t="inlineStr">
        <is>
          <t>0 a 20</t>
        </is>
      </c>
    </row>
    <row r="25">
      <c r="A25" s="6" t="inlineStr">
        <is>
          <t>ciencias_sociales</t>
        </is>
      </c>
      <c r="B25" s="6" t="inlineStr">
        <is>
          <t>Nota final del I bimestre en Ciencias Sociales (0 a 20). Vacío si no aplica (ej. exonerado).</t>
        </is>
      </c>
      <c r="C25" s="6" t="inlineStr">
        <is>
          <t>captura</t>
        </is>
      </c>
      <c r="D25" s="6" t="inlineStr">
        <is>
          <t>0 a 20</t>
        </is>
      </c>
    </row>
    <row r="26">
      <c r="A26" s="6" t="inlineStr">
        <is>
          <t>dpcc</t>
        </is>
      </c>
      <c r="B26" s="6" t="inlineStr">
        <is>
          <t>Nota final del I bimestre en Desarrollo Personal, Ciudadanía y Cívica (0 a 20). Vacío si no aplica (ej. exonerado).</t>
        </is>
      </c>
      <c r="C26" s="6" t="inlineStr">
        <is>
          <t>captura</t>
        </is>
      </c>
      <c r="D26" s="6" t="inlineStr">
        <is>
          <t>0 a 20</t>
        </is>
      </c>
    </row>
    <row r="27">
      <c r="A27" s="6" t="inlineStr">
        <is>
          <t>educacion_fisica</t>
        </is>
      </c>
      <c r="B27" s="6" t="inlineStr">
        <is>
          <t>Nota final del I bimestre en Educación Física (0 a 20). Vacío si no aplica (ej. exonerado).</t>
        </is>
      </c>
      <c r="C27" s="6" t="inlineStr">
        <is>
          <t>captura</t>
        </is>
      </c>
      <c r="D27" s="6" t="inlineStr">
        <is>
          <t>0 a 20</t>
        </is>
      </c>
    </row>
    <row r="28">
      <c r="A28" s="6" t="inlineStr">
        <is>
          <t>educacion_religiosa</t>
        </is>
      </c>
      <c r="B28" s="6" t="inlineStr">
        <is>
          <t>Nota final del I bimestre en Educación Religiosa (0 a 20). Vacío si no aplica (ej. exonerado).</t>
        </is>
      </c>
      <c r="C28" s="6" t="inlineStr">
        <is>
          <t>captura</t>
        </is>
      </c>
      <c r="D28" s="6" t="inlineStr">
        <is>
          <t>0 a 20</t>
        </is>
      </c>
    </row>
    <row r="29">
      <c r="A29" s="6" t="inlineStr">
        <is>
          <t>ciencia_tecnologia</t>
        </is>
      </c>
      <c r="B29" s="6" t="inlineStr">
        <is>
          <t>Nota final del I bimestre en Ciencia y Tecnología (0 a 20). Vacío si no aplica (ej. exonerado).</t>
        </is>
      </c>
      <c r="C29" s="6" t="inlineStr">
        <is>
          <t>captura</t>
        </is>
      </c>
      <c r="D29" s="6" t="inlineStr">
        <is>
          <t>0 a 20</t>
        </is>
      </c>
    </row>
    <row r="30">
      <c r="A30" s="6" t="inlineStr">
        <is>
          <t>ept</t>
        </is>
      </c>
      <c r="B30" s="6" t="inlineStr">
        <is>
          <t>Nota final del I bimestre en Educación para el Trabajo (0 a 20). Vacío si no aplica (ej. exonerado).</t>
        </is>
      </c>
      <c r="C30" s="6" t="inlineStr">
        <is>
          <t>captura</t>
        </is>
      </c>
      <c r="D30" s="6" t="inlineStr">
        <is>
          <t>0 a 20</t>
        </is>
      </c>
    </row>
    <row r="31">
      <c r="A31" s="7" t="inlineStr">
        <is>
          <t>n_notas</t>
        </is>
      </c>
      <c r="B31" s="7" t="inlineStr">
        <is>
          <t>n: cantidad de calificaciones válidas registradas.</t>
        </is>
      </c>
      <c r="C31" s="7" t="inlineStr">
        <is>
          <t>calculada</t>
        </is>
      </c>
      <c r="D31" s="7" t="inlineStr">
        <is>
          <t>Cuenta solo notas válidas</t>
        </is>
      </c>
    </row>
    <row r="32">
      <c r="A32" s="7" t="inlineStr">
        <is>
          <t>suma_notas</t>
        </is>
      </c>
      <c r="B32" s="7" t="inlineStr">
        <is>
          <t>Σ Notas.</t>
        </is>
      </c>
      <c r="C32" s="7" t="inlineStr">
        <is>
          <t>calculada</t>
        </is>
      </c>
      <c r="D32" s="7" t="inlineStr">
        <is>
          <t>Σ Notas</t>
        </is>
      </c>
    </row>
    <row r="33">
      <c r="A33" s="7" t="inlineStr">
        <is>
          <t>promedio</t>
        </is>
      </c>
      <c r="B33" s="7" t="inlineStr">
        <is>
          <t>Promedio = Σ Notas / n, redondeado a 2 decimales.</t>
        </is>
      </c>
      <c r="C33" s="7" t="inlineStr">
        <is>
          <t>calculada</t>
        </is>
      </c>
      <c r="D33" s="7" t="inlineStr">
        <is>
          <t>Σ Notas / n</t>
        </is>
      </c>
    </row>
    <row r="34">
      <c r="A34" s="6" t="inlineStr">
        <is>
          <t>anio</t>
        </is>
      </c>
      <c r="B34" s="6" t="inlineStr">
        <is>
          <t>Año lectivo del registro. 2024–2025 = histórico de entrenamiento.</t>
        </is>
      </c>
      <c r="C34" s="6" t="inlineStr">
        <is>
          <t>captura *</t>
        </is>
      </c>
      <c r="D34" s="6" t="inlineStr">
        <is>
          <t>2024, 2025 o 2026</t>
        </is>
      </c>
    </row>
    <row r="35">
      <c r="A35" s="6" t="inlineStr">
        <is>
          <t>deserto</t>
        </is>
      </c>
      <c r="B35" s="6" t="inlineStr">
        <is>
          <t>Solo histórico 2024–2025: 1 si abandonó ese año, 0 si no. Dejar vacío en 2026.</t>
        </is>
      </c>
      <c r="C35" s="6" t="inlineStr">
        <is>
          <t>captura</t>
        </is>
      </c>
      <c r="D35" s="6" t="inlineStr">
        <is>
          <t>0 o 1; vacío en 2026</t>
        </is>
      </c>
    </row>
    <row r="36">
      <c r="A36" s="6" t="inlineStr">
        <is>
          <t>excluido</t>
        </is>
      </c>
      <c r="B36" s="6" t="inlineStr">
        <is>
          <t>Marcar sí si cumple un criterio de exclusión de la tesis.</t>
        </is>
      </c>
      <c r="C36" s="6" t="inlineStr">
        <is>
          <t>captura</t>
        </is>
      </c>
      <c r="D36" s="6" t="inlineStr">
        <is>
          <t>sí o no</t>
        </is>
      </c>
    </row>
    <row r="37">
      <c r="A37" s="6" t="inlineStr">
        <is>
          <t>motivo_exclusion</t>
        </is>
      </c>
      <c r="B37" s="6" t="inlineStr">
        <is>
          <t>Obligatorio si excluido = sí.</t>
        </is>
      </c>
      <c r="C37" s="6" t="inlineStr">
        <is>
          <t>captura</t>
        </is>
      </c>
      <c r="D37" s="6" t="inlineStr">
        <is>
          <t>traslado definitivo / dimensión incompleta / registro inconsistente</t>
        </is>
      </c>
    </row>
    <row r="38">
      <c r="A38" s="6" t="inlineStr">
        <is>
          <t>observaciones</t>
        </is>
      </c>
      <c r="B38" s="6" t="inlineStr">
        <is>
          <t>Texto libre (sin datos personales).</t>
        </is>
      </c>
      <c r="C38" s="6" t="inlineStr">
        <is>
          <t>captura</t>
        </is>
      </c>
      <c r="D38" s="6" t="inlineStr"/>
    </row>
    <row r="39">
      <c r="A39" s="8" t="inlineStr">
        <is>
          <t>* obligatoria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79"/>
  <sheetViews>
    <sheetView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3" customWidth="1" min="4" max="4"/>
    <col width="10" customWidth="1" min="5" max="5"/>
    <col width="12" customWidth="1" min="6" max="6"/>
    <col width="14" customWidth="1" min="7" max="7"/>
    <col width="11" customWidth="1" min="8" max="8"/>
    <col width="14" customWidth="1" min="9" max="9"/>
    <col width="19" customWidth="1" min="10" max="10"/>
    <col width="11" customWidth="1" min="11" max="11"/>
    <col width="18" customWidth="1" min="12" max="12"/>
    <col width="21" customWidth="1" min="13" max="13"/>
    <col width="20" customWidth="1" min="14" max="14"/>
    <col width="11" customWidth="1" min="15" max="15"/>
    <col width="9" customWidth="1" min="16" max="16"/>
    <col width="12" customWidth="1" min="17" max="17"/>
    <col width="10" customWidth="1" min="18" max="18"/>
    <col width="8" customWidth="1" min="19" max="19"/>
    <col width="9" customWidth="1" min="20" max="20"/>
    <col width="10" customWidth="1" min="21" max="21"/>
    <col width="22" customWidth="1" min="22" max="22"/>
    <col width="30" customWidth="1" min="23" max="23"/>
  </cols>
  <sheetData>
    <row r="1">
      <c r="A1" s="17" t="inlineStr">
        <is>
          <t>EJEMPLO (datos inventados) — Ficha 1 — Rendimiento académico</t>
        </is>
      </c>
      <c r="E1" s="9" t="inlineStr">
        <is>
          <t>Promedio = Σ Notas / n  ·  Albonny y Duru [1]</t>
        </is>
      </c>
    </row>
    <row r="2">
      <c r="A2" s="2" t="inlineStr">
        <is>
          <t>Año lectivo</t>
        </is>
      </c>
      <c r="B2" s="10" t="n">
        <v>2026</v>
      </c>
    </row>
    <row r="3">
      <c r="A3" s="2" t="inlineStr">
        <is>
          <t>Periodo de corte</t>
        </is>
      </c>
      <c r="B3" s="11" t="inlineStr">
        <is>
          <t>I bimestre</t>
        </is>
      </c>
    </row>
    <row r="4">
      <c r="A4" s="2" t="inlineStr">
        <is>
          <t>Fecha de inicio del periodo</t>
        </is>
      </c>
      <c r="B4" s="12" t="n">
        <v>46097</v>
      </c>
    </row>
    <row r="5">
      <c r="A5" s="2" t="inlineStr">
        <is>
          <t>Fecha de fin del periodo</t>
        </is>
      </c>
      <c r="B5" s="12" t="n">
        <v>46157</v>
      </c>
    </row>
    <row r="6">
      <c r="A6" s="2" t="inlineStr">
        <is>
          <t>Responsable del llenado (cargo)</t>
        </is>
      </c>
      <c r="B6" s="11" t="inlineStr">
        <is>
          <t>Tesista</t>
        </is>
      </c>
    </row>
    <row r="9">
      <c r="A9" s="13" t="inlineStr">
        <is>
          <t>codigo</t>
        </is>
      </c>
      <c r="B9" s="13" t="inlineStr">
        <is>
          <t>grado</t>
        </is>
      </c>
      <c r="C9" s="13" t="inlineStr">
        <is>
          <t>seccion</t>
        </is>
      </c>
      <c r="D9" s="14" t="inlineStr">
        <is>
          <t>grupo</t>
        </is>
      </c>
      <c r="E9" s="13" t="inlineStr">
        <is>
          <t>momento</t>
        </is>
      </c>
      <c r="F9" s="13" t="inlineStr">
        <is>
          <t>matematica</t>
        </is>
      </c>
      <c r="G9" s="13" t="inlineStr">
        <is>
          <t>comunicacion</t>
        </is>
      </c>
      <c r="H9" s="13" t="inlineStr">
        <is>
          <t>ingles</t>
        </is>
      </c>
      <c r="I9" s="13" t="inlineStr">
        <is>
          <t>arte_cultura</t>
        </is>
      </c>
      <c r="J9" s="13" t="inlineStr">
        <is>
          <t>ciencias_sociales</t>
        </is>
      </c>
      <c r="K9" s="13" t="inlineStr">
        <is>
          <t>dpcc</t>
        </is>
      </c>
      <c r="L9" s="13" t="inlineStr">
        <is>
          <t>educacion_fisica</t>
        </is>
      </c>
      <c r="M9" s="13" t="inlineStr">
        <is>
          <t>educacion_religiosa</t>
        </is>
      </c>
      <c r="N9" s="13" t="inlineStr">
        <is>
          <t>ciencia_tecnologia</t>
        </is>
      </c>
      <c r="O9" s="13" t="inlineStr">
        <is>
          <t>ept</t>
        </is>
      </c>
      <c r="P9" s="14" t="inlineStr">
        <is>
          <t>n_notas</t>
        </is>
      </c>
      <c r="Q9" s="14" t="inlineStr">
        <is>
          <t>suma_notas</t>
        </is>
      </c>
      <c r="R9" s="14" t="inlineStr">
        <is>
          <t>promedio</t>
        </is>
      </c>
      <c r="S9" s="13" t="inlineStr">
        <is>
          <t>anio</t>
        </is>
      </c>
      <c r="T9" s="13" t="inlineStr">
        <is>
          <t>deserto</t>
        </is>
      </c>
      <c r="U9" s="13" t="inlineStr">
        <is>
          <t>excluido</t>
        </is>
      </c>
      <c r="V9" s="13" t="inlineStr">
        <is>
          <t>motivo_exclusion</t>
        </is>
      </c>
      <c r="W9" s="13" t="inlineStr">
        <is>
          <t>observaciones</t>
        </is>
      </c>
    </row>
    <row r="10">
      <c r="A10" s="10" t="inlineStr">
        <is>
          <t>EST-001</t>
        </is>
      </c>
      <c r="B10" s="10" t="n">
        <v>4</v>
      </c>
      <c r="C10" s="15" t="inlineStr">
        <is>
          <t>B</t>
        </is>
      </c>
      <c r="D10" s="16">
        <f>IF(B10=3,"control",IF(B10=4,"experimental",""))</f>
        <v/>
      </c>
      <c r="E10" s="10" t="inlineStr">
        <is>
          <t>pre</t>
        </is>
      </c>
      <c r="F10" s="15" t="n">
        <v>13</v>
      </c>
      <c r="G10" s="15" t="n">
        <v>15</v>
      </c>
      <c r="H10" s="15" t="n">
        <v>16</v>
      </c>
      <c r="I10" s="15" t="n">
        <v>15</v>
      </c>
      <c r="J10" s="15" t="n">
        <v>16</v>
      </c>
      <c r="K10" s="15" t="n">
        <v>18</v>
      </c>
      <c r="L10" s="15" t="n">
        <v>12</v>
      </c>
      <c r="M10" s="15" t="n">
        <v>14</v>
      </c>
      <c r="N10" s="15" t="n">
        <v>13</v>
      </c>
      <c r="O10" s="15" t="n">
        <v>14</v>
      </c>
      <c r="P10" s="16">
        <f>IF(COUNTIFS(F10:O10,"&gt;=0",F10:O10,"&lt;=20")=0,"",COUNTIFS(F10:O10,"&gt;=0",F10:O10,"&lt;=20"))</f>
        <v/>
      </c>
      <c r="Q10" s="16">
        <f>IF(P10="","",SUMIFS(F10:O10,F10:O10,"&gt;=0",F10:O10,"&lt;=20"))</f>
        <v/>
      </c>
      <c r="R10" s="16">
        <f>IF(P10="","",ROUND(Q10/P10,2))</f>
        <v/>
      </c>
      <c r="S10" s="10" t="n">
        <v>2026</v>
      </c>
      <c r="T10" s="15" t="n"/>
      <c r="U10" s="15" t="n"/>
      <c r="V10" s="15" t="n"/>
      <c r="W10" s="15" t="inlineStr">
        <is>
          <t>EJEMPLO: dato inventado, reemplazar</t>
        </is>
      </c>
    </row>
    <row r="11">
      <c r="A11" s="10" t="inlineStr">
        <is>
          <t>EST-002</t>
        </is>
      </c>
      <c r="B11" s="10" t="n">
        <v>4</v>
      </c>
      <c r="C11" s="15" t="inlineStr">
        <is>
          <t>B</t>
        </is>
      </c>
      <c r="D11" s="16">
        <f>IF(B11=3,"control",IF(B11=4,"experimental",""))</f>
        <v/>
      </c>
      <c r="E11" s="10" t="inlineStr">
        <is>
          <t>pre</t>
        </is>
      </c>
      <c r="F11" s="15" t="n">
        <v>14</v>
      </c>
      <c r="G11" s="15" t="n">
        <v>14</v>
      </c>
      <c r="H11" s="15" t="n">
        <v>15</v>
      </c>
      <c r="I11" s="15" t="n">
        <v>13</v>
      </c>
      <c r="J11" s="15" t="n">
        <v>16</v>
      </c>
      <c r="K11" s="15" t="n">
        <v>12</v>
      </c>
      <c r="L11" s="15" t="n">
        <v>14</v>
      </c>
      <c r="M11" s="15" t="n">
        <v>13</v>
      </c>
      <c r="N11" s="15" t="n">
        <v>15</v>
      </c>
      <c r="O11" s="15" t="n">
        <v>20</v>
      </c>
      <c r="P11" s="16">
        <f>IF(COUNTIFS(F11:O11,"&gt;=0",F11:O11,"&lt;=20")=0,"",COUNTIFS(F11:O11,"&gt;=0",F11:O11,"&lt;=20"))</f>
        <v/>
      </c>
      <c r="Q11" s="16">
        <f>IF(P11="","",SUMIFS(F11:O11,F11:O11,"&gt;=0",F11:O11,"&lt;=20"))</f>
        <v/>
      </c>
      <c r="R11" s="16">
        <f>IF(P11="","",ROUND(Q11/P11,2))</f>
        <v/>
      </c>
      <c r="S11" s="10" t="n">
        <v>2026</v>
      </c>
      <c r="T11" s="15" t="n"/>
      <c r="U11" s="15" t="n"/>
      <c r="V11" s="15" t="n"/>
      <c r="W11" s="15" t="inlineStr">
        <is>
          <t>EJEMPLO: dato inventado, reemplazar</t>
        </is>
      </c>
    </row>
    <row r="12">
      <c r="A12" s="10" t="inlineStr">
        <is>
          <t>EST-003</t>
        </is>
      </c>
      <c r="B12" s="10" t="n">
        <v>4</v>
      </c>
      <c r="C12" s="15" t="inlineStr">
        <is>
          <t>B</t>
        </is>
      </c>
      <c r="D12" s="16">
        <f>IF(B12=3,"control",IF(B12=4,"experimental",""))</f>
        <v/>
      </c>
      <c r="E12" s="10" t="inlineStr">
        <is>
          <t>pre</t>
        </is>
      </c>
      <c r="F12" s="15" t="n">
        <v>14</v>
      </c>
      <c r="G12" s="15" t="n">
        <v>14</v>
      </c>
      <c r="H12" s="15" t="n">
        <v>12</v>
      </c>
      <c r="I12" s="15" t="n">
        <v>12</v>
      </c>
      <c r="J12" s="15" t="n">
        <v>9</v>
      </c>
      <c r="K12" s="15" t="n">
        <v>14</v>
      </c>
      <c r="L12" s="15" t="n">
        <v>12</v>
      </c>
      <c r="M12" s="15" t="n">
        <v>11</v>
      </c>
      <c r="N12" s="15" t="n">
        <v>16</v>
      </c>
      <c r="O12" s="15" t="n">
        <v>13</v>
      </c>
      <c r="P12" s="16">
        <f>IF(COUNTIFS(F12:O12,"&gt;=0",F12:O12,"&lt;=20")=0,"",COUNTIFS(F12:O12,"&gt;=0",F12:O12,"&lt;=20"))</f>
        <v/>
      </c>
      <c r="Q12" s="16">
        <f>IF(P12="","",SUMIFS(F12:O12,F12:O12,"&gt;=0",F12:O12,"&lt;=20"))</f>
        <v/>
      </c>
      <c r="R12" s="16">
        <f>IF(P12="","",ROUND(Q12/P12,2))</f>
        <v/>
      </c>
      <c r="S12" s="10" t="n">
        <v>2026</v>
      </c>
      <c r="T12" s="15" t="n"/>
      <c r="U12" s="15" t="n"/>
      <c r="V12" s="15" t="n"/>
      <c r="W12" s="15" t="inlineStr">
        <is>
          <t>EJEMPLO: dato inventado, reemplazar</t>
        </is>
      </c>
    </row>
    <row r="13">
      <c r="A13" s="10" t="inlineStr">
        <is>
          <t>EST-004</t>
        </is>
      </c>
      <c r="B13" s="10" t="n">
        <v>4</v>
      </c>
      <c r="C13" s="15" t="inlineStr">
        <is>
          <t>B</t>
        </is>
      </c>
      <c r="D13" s="16">
        <f>IF(B13=3,"control",IF(B13=4,"experimental",""))</f>
        <v/>
      </c>
      <c r="E13" s="10" t="inlineStr">
        <is>
          <t>pre</t>
        </is>
      </c>
      <c r="F13" s="15" t="n">
        <v>12</v>
      </c>
      <c r="G13" s="15" t="n">
        <v>12</v>
      </c>
      <c r="H13" s="15" t="n">
        <v>9</v>
      </c>
      <c r="I13" s="15" t="n">
        <v>12</v>
      </c>
      <c r="J13" s="15" t="n">
        <v>11</v>
      </c>
      <c r="K13" s="15" t="n">
        <v>11</v>
      </c>
      <c r="L13" s="15" t="n">
        <v>14</v>
      </c>
      <c r="M13" s="15" t="n">
        <v>12</v>
      </c>
      <c r="N13" s="15" t="n">
        <v>9</v>
      </c>
      <c r="O13" s="15" t="n">
        <v>14</v>
      </c>
      <c r="P13" s="16">
        <f>IF(COUNTIFS(F13:O13,"&gt;=0",F13:O13,"&lt;=20")=0,"",COUNTIFS(F13:O13,"&gt;=0",F13:O13,"&lt;=20"))</f>
        <v/>
      </c>
      <c r="Q13" s="16">
        <f>IF(P13="","",SUMIFS(F13:O13,F13:O13,"&gt;=0",F13:O13,"&lt;=20"))</f>
        <v/>
      </c>
      <c r="R13" s="16">
        <f>IF(P13="","",ROUND(Q13/P13,2))</f>
        <v/>
      </c>
      <c r="S13" s="10" t="n">
        <v>2026</v>
      </c>
      <c r="T13" s="15" t="n"/>
      <c r="U13" s="15" t="n"/>
      <c r="V13" s="15" t="n"/>
      <c r="W13" s="15" t="inlineStr">
        <is>
          <t>EJEMPLO: dato inventado, reemplazar</t>
        </is>
      </c>
    </row>
    <row r="14">
      <c r="A14" s="10" t="inlineStr">
        <is>
          <t>EST-005</t>
        </is>
      </c>
      <c r="B14" s="10" t="n">
        <v>4</v>
      </c>
      <c r="C14" s="15" t="inlineStr">
        <is>
          <t>B</t>
        </is>
      </c>
      <c r="D14" s="16">
        <f>IF(B14=3,"control",IF(B14=4,"experimental",""))</f>
        <v/>
      </c>
      <c r="E14" s="10" t="inlineStr">
        <is>
          <t>pre</t>
        </is>
      </c>
      <c r="F14" s="15" t="n">
        <v>15</v>
      </c>
      <c r="G14" s="15" t="n">
        <v>15</v>
      </c>
      <c r="H14" s="15" t="n">
        <v>14</v>
      </c>
      <c r="I14" s="15" t="n">
        <v>11</v>
      </c>
      <c r="J14" s="15" t="n">
        <v>17</v>
      </c>
      <c r="K14" s="15" t="n">
        <v>16</v>
      </c>
      <c r="L14" s="15" t="n">
        <v>13</v>
      </c>
      <c r="M14" s="15" t="n">
        <v>15</v>
      </c>
      <c r="N14" s="15" t="n">
        <v>15</v>
      </c>
      <c r="O14" s="15" t="n">
        <v>18</v>
      </c>
      <c r="P14" s="16">
        <f>IF(COUNTIFS(F14:O14,"&gt;=0",F14:O14,"&lt;=20")=0,"",COUNTIFS(F14:O14,"&gt;=0",F14:O14,"&lt;=20"))</f>
        <v/>
      </c>
      <c r="Q14" s="16">
        <f>IF(P14="","",SUMIFS(F14:O14,F14:O14,"&gt;=0",F14:O14,"&lt;=20"))</f>
        <v/>
      </c>
      <c r="R14" s="16">
        <f>IF(P14="","",ROUND(Q14/P14,2))</f>
        <v/>
      </c>
      <c r="S14" s="10" t="n">
        <v>2026</v>
      </c>
      <c r="T14" s="15" t="n"/>
      <c r="U14" s="15" t="n"/>
      <c r="V14" s="15" t="n"/>
      <c r="W14" s="15" t="inlineStr">
        <is>
          <t>EJEMPLO: dato inventado, reemplazar</t>
        </is>
      </c>
    </row>
    <row r="15">
      <c r="A15" s="10" t="inlineStr">
        <is>
          <t>EST-006</t>
        </is>
      </c>
      <c r="B15" s="10" t="n">
        <v>4</v>
      </c>
      <c r="C15" s="15" t="inlineStr">
        <is>
          <t>B</t>
        </is>
      </c>
      <c r="D15" s="16">
        <f>IF(B15=3,"control",IF(B15=4,"experimental",""))</f>
        <v/>
      </c>
      <c r="E15" s="10" t="inlineStr">
        <is>
          <t>pre</t>
        </is>
      </c>
      <c r="F15" s="15" t="n">
        <v>13</v>
      </c>
      <c r="G15" s="15" t="n">
        <v>10</v>
      </c>
      <c r="H15" s="15" t="n">
        <v>8</v>
      </c>
      <c r="I15" s="15" t="n">
        <v>9</v>
      </c>
      <c r="J15" s="15" t="n">
        <v>9</v>
      </c>
      <c r="K15" s="15" t="n">
        <v>13</v>
      </c>
      <c r="L15" s="15" t="n">
        <v>8</v>
      </c>
      <c r="M15" s="15" t="n">
        <v>10</v>
      </c>
      <c r="N15" s="15" t="n">
        <v>12</v>
      </c>
      <c r="O15" s="15" t="n">
        <v>9</v>
      </c>
      <c r="P15" s="16">
        <f>IF(COUNTIFS(F15:O15,"&gt;=0",F15:O15,"&lt;=20")=0,"",COUNTIFS(F15:O15,"&gt;=0",F15:O15,"&lt;=20"))</f>
        <v/>
      </c>
      <c r="Q15" s="16">
        <f>IF(P15="","",SUMIFS(F15:O15,F15:O15,"&gt;=0",F15:O15,"&lt;=20"))</f>
        <v/>
      </c>
      <c r="R15" s="16">
        <f>IF(P15="","",ROUND(Q15/P15,2))</f>
        <v/>
      </c>
      <c r="S15" s="10" t="n">
        <v>2026</v>
      </c>
      <c r="T15" s="15" t="n"/>
      <c r="U15" s="15" t="n"/>
      <c r="V15" s="15" t="n"/>
      <c r="W15" s="15" t="inlineStr">
        <is>
          <t>EJEMPLO: dato inventado, reemplazar</t>
        </is>
      </c>
    </row>
    <row r="16">
      <c r="A16" s="10" t="inlineStr">
        <is>
          <t>EST-007</t>
        </is>
      </c>
      <c r="B16" s="10" t="n">
        <v>4</v>
      </c>
      <c r="C16" s="15" t="inlineStr">
        <is>
          <t>B</t>
        </is>
      </c>
      <c r="D16" s="16">
        <f>IF(B16=3,"control",IF(B16=4,"experimental",""))</f>
        <v/>
      </c>
      <c r="E16" s="10" t="inlineStr">
        <is>
          <t>pre</t>
        </is>
      </c>
      <c r="F16" s="15" t="n">
        <v>10</v>
      </c>
      <c r="G16" s="15" t="n">
        <v>11</v>
      </c>
      <c r="H16" s="15" t="n">
        <v>10</v>
      </c>
      <c r="I16" s="15" t="n">
        <v>12</v>
      </c>
      <c r="J16" s="15" t="n">
        <v>13</v>
      </c>
      <c r="K16" s="15" t="n">
        <v>11</v>
      </c>
      <c r="L16" s="15" t="n">
        <v>10</v>
      </c>
      <c r="M16" s="15" t="n"/>
      <c r="N16" s="15" t="n">
        <v>14</v>
      </c>
      <c r="O16" s="15" t="n">
        <v>9</v>
      </c>
      <c r="P16" s="16">
        <f>IF(COUNTIFS(F16:O16,"&gt;=0",F16:O16,"&lt;=20")=0,"",COUNTIFS(F16:O16,"&gt;=0",F16:O16,"&lt;=20"))</f>
        <v/>
      </c>
      <c r="Q16" s="16">
        <f>IF(P16="","",SUMIFS(F16:O16,F16:O16,"&gt;=0",F16:O16,"&lt;=20"))</f>
        <v/>
      </c>
      <c r="R16" s="16">
        <f>IF(P16="","",ROUND(Q16/P16,2))</f>
        <v/>
      </c>
      <c r="S16" s="10" t="n">
        <v>2026</v>
      </c>
      <c r="T16" s="15" t="n"/>
      <c r="U16" s="15" t="n"/>
      <c r="V16" s="15" t="n"/>
      <c r="W16" s="15" t="inlineStr">
        <is>
          <t>EJEMPLO: dato inventado, reemplazar</t>
        </is>
      </c>
    </row>
    <row r="17">
      <c r="A17" s="10" t="inlineStr">
        <is>
          <t>EST-008</t>
        </is>
      </c>
      <c r="B17" s="10" t="n">
        <v>4</v>
      </c>
      <c r="C17" s="15" t="inlineStr">
        <is>
          <t>B</t>
        </is>
      </c>
      <c r="D17" s="16">
        <f>IF(B17=3,"control",IF(B17=4,"experimental",""))</f>
        <v/>
      </c>
      <c r="E17" s="10" t="inlineStr">
        <is>
          <t>pre</t>
        </is>
      </c>
      <c r="F17" s="15" t="n">
        <v>15</v>
      </c>
      <c r="G17" s="15" t="n">
        <v>14</v>
      </c>
      <c r="H17" s="15" t="n">
        <v>13</v>
      </c>
      <c r="I17" s="15" t="n">
        <v>11</v>
      </c>
      <c r="J17" s="15" t="n">
        <v>12</v>
      </c>
      <c r="K17" s="15" t="n">
        <v>14</v>
      </c>
      <c r="L17" s="15" t="n">
        <v>19</v>
      </c>
      <c r="M17" s="15" t="n">
        <v>13</v>
      </c>
      <c r="N17" s="15" t="n">
        <v>15</v>
      </c>
      <c r="O17" s="15" t="n">
        <v>12</v>
      </c>
      <c r="P17" s="16">
        <f>IF(COUNTIFS(F17:O17,"&gt;=0",F17:O17,"&lt;=20")=0,"",COUNTIFS(F17:O17,"&gt;=0",F17:O17,"&lt;=20"))</f>
        <v/>
      </c>
      <c r="Q17" s="16">
        <f>IF(P17="","",SUMIFS(F17:O17,F17:O17,"&gt;=0",F17:O17,"&lt;=20"))</f>
        <v/>
      </c>
      <c r="R17" s="16">
        <f>IF(P17="","",ROUND(Q17/P17,2))</f>
        <v/>
      </c>
      <c r="S17" s="10" t="n">
        <v>2026</v>
      </c>
      <c r="T17" s="15" t="n"/>
      <c r="U17" s="15" t="n"/>
      <c r="V17" s="15" t="n"/>
      <c r="W17" s="15" t="inlineStr">
        <is>
          <t>EJEMPLO: dato inventado, reemplazar</t>
        </is>
      </c>
    </row>
    <row r="18">
      <c r="A18" s="10" t="inlineStr">
        <is>
          <t>EST-009</t>
        </is>
      </c>
      <c r="B18" s="10" t="n">
        <v>4</v>
      </c>
      <c r="C18" s="15" t="inlineStr">
        <is>
          <t>B</t>
        </is>
      </c>
      <c r="D18" s="16">
        <f>IF(B18=3,"control",IF(B18=4,"experimental",""))</f>
        <v/>
      </c>
      <c r="E18" s="10" t="inlineStr">
        <is>
          <t>pre</t>
        </is>
      </c>
      <c r="F18" s="15" t="n">
        <v>15</v>
      </c>
      <c r="G18" s="15" t="n">
        <v>14</v>
      </c>
      <c r="H18" s="15" t="n">
        <v>15</v>
      </c>
      <c r="I18" s="15" t="n">
        <v>16</v>
      </c>
      <c r="J18" s="15" t="n">
        <v>18</v>
      </c>
      <c r="K18" s="15" t="n">
        <v>15</v>
      </c>
      <c r="L18" s="15" t="n">
        <v>16</v>
      </c>
      <c r="M18" s="15" t="n">
        <v>15</v>
      </c>
      <c r="N18" s="15" t="n">
        <v>16</v>
      </c>
      <c r="O18" s="15" t="n">
        <v>14</v>
      </c>
      <c r="P18" s="16">
        <f>IF(COUNTIFS(F18:O18,"&gt;=0",F18:O18,"&lt;=20")=0,"",COUNTIFS(F18:O18,"&gt;=0",F18:O18,"&lt;=20"))</f>
        <v/>
      </c>
      <c r="Q18" s="16">
        <f>IF(P18="","",SUMIFS(F18:O18,F18:O18,"&gt;=0",F18:O18,"&lt;=20"))</f>
        <v/>
      </c>
      <c r="R18" s="16">
        <f>IF(P18="","",ROUND(Q18/P18,2))</f>
        <v/>
      </c>
      <c r="S18" s="10" t="n">
        <v>2026</v>
      </c>
      <c r="T18" s="15" t="n"/>
      <c r="U18" s="15" t="n"/>
      <c r="V18" s="15" t="n"/>
      <c r="W18" s="15" t="inlineStr">
        <is>
          <t>EJEMPLO: dato inventado, reemplazar</t>
        </is>
      </c>
    </row>
    <row r="19">
      <c r="A19" s="10" t="inlineStr">
        <is>
          <t>EST-010</t>
        </is>
      </c>
      <c r="B19" s="10" t="n">
        <v>4</v>
      </c>
      <c r="C19" s="15" t="inlineStr">
        <is>
          <t>B</t>
        </is>
      </c>
      <c r="D19" s="16">
        <f>IF(B19=3,"control",IF(B19=4,"experimental",""))</f>
        <v/>
      </c>
      <c r="E19" s="10" t="inlineStr">
        <is>
          <t>pre</t>
        </is>
      </c>
      <c r="F19" s="15" t="n">
        <v>11</v>
      </c>
      <c r="G19" s="15" t="n">
        <v>11</v>
      </c>
      <c r="H19" s="15" t="n">
        <v>11</v>
      </c>
      <c r="I19" s="15" t="n">
        <v>14</v>
      </c>
      <c r="J19" s="15" t="n">
        <v>13</v>
      </c>
      <c r="K19" s="15" t="n">
        <v>8</v>
      </c>
      <c r="L19" s="15" t="n">
        <v>9</v>
      </c>
      <c r="M19" s="15" t="n">
        <v>12</v>
      </c>
      <c r="N19" s="15" t="n">
        <v>13</v>
      </c>
      <c r="O19" s="15" t="n">
        <v>13</v>
      </c>
      <c r="P19" s="16">
        <f>IF(COUNTIFS(F19:O19,"&gt;=0",F19:O19,"&lt;=20")=0,"",COUNTIFS(F19:O19,"&gt;=0",F19:O19,"&lt;=20"))</f>
        <v/>
      </c>
      <c r="Q19" s="16">
        <f>IF(P19="","",SUMIFS(F19:O19,F19:O19,"&gt;=0",F19:O19,"&lt;=20"))</f>
        <v/>
      </c>
      <c r="R19" s="16">
        <f>IF(P19="","",ROUND(Q19/P19,2))</f>
        <v/>
      </c>
      <c r="S19" s="10" t="n">
        <v>2026</v>
      </c>
      <c r="T19" s="15" t="n"/>
      <c r="U19" s="15" t="n"/>
      <c r="V19" s="15" t="n"/>
      <c r="W19" s="15" t="inlineStr">
        <is>
          <t>EJEMPLO: dato inventado, reemplazar</t>
        </is>
      </c>
    </row>
    <row r="20">
      <c r="A20" s="10" t="inlineStr">
        <is>
          <t>EST-011</t>
        </is>
      </c>
      <c r="B20" s="10" t="n">
        <v>4</v>
      </c>
      <c r="C20" s="15" t="inlineStr">
        <is>
          <t>B</t>
        </is>
      </c>
      <c r="D20" s="16">
        <f>IF(B20=3,"control",IF(B20=4,"experimental",""))</f>
        <v/>
      </c>
      <c r="E20" s="10" t="inlineStr">
        <is>
          <t>pre</t>
        </is>
      </c>
      <c r="F20" s="15" t="n">
        <v>15</v>
      </c>
      <c r="G20" s="15" t="n">
        <v>14</v>
      </c>
      <c r="H20" s="15" t="n">
        <v>16</v>
      </c>
      <c r="I20" s="15" t="n">
        <v>12</v>
      </c>
      <c r="J20" s="15" t="n">
        <v>14</v>
      </c>
      <c r="K20" s="15" t="n">
        <v>12</v>
      </c>
      <c r="L20" s="15" t="n">
        <v>10</v>
      </c>
      <c r="M20" s="15" t="n">
        <v>15</v>
      </c>
      <c r="N20" s="15" t="n">
        <v>12</v>
      </c>
      <c r="O20" s="15" t="n">
        <v>13</v>
      </c>
      <c r="P20" s="16">
        <f>IF(COUNTIFS(F20:O20,"&gt;=0",F20:O20,"&lt;=20")=0,"",COUNTIFS(F20:O20,"&gt;=0",F20:O20,"&lt;=20"))</f>
        <v/>
      </c>
      <c r="Q20" s="16">
        <f>IF(P20="","",SUMIFS(F20:O20,F20:O20,"&gt;=0",F20:O20,"&lt;=20"))</f>
        <v/>
      </c>
      <c r="R20" s="16">
        <f>IF(P20="","",ROUND(Q20/P20,2))</f>
        <v/>
      </c>
      <c r="S20" s="10" t="n">
        <v>2026</v>
      </c>
      <c r="T20" s="15" t="n"/>
      <c r="U20" s="15" t="n"/>
      <c r="V20" s="15" t="n"/>
      <c r="W20" s="15" t="inlineStr">
        <is>
          <t>EJEMPLO: dato inventado, reemplazar</t>
        </is>
      </c>
    </row>
    <row r="21">
      <c r="A21" s="10" t="inlineStr">
        <is>
          <t>EST-012</t>
        </is>
      </c>
      <c r="B21" s="10" t="n">
        <v>4</v>
      </c>
      <c r="C21" s="15" t="inlineStr">
        <is>
          <t>B</t>
        </is>
      </c>
      <c r="D21" s="16">
        <f>IF(B21=3,"control",IF(B21=4,"experimental",""))</f>
        <v/>
      </c>
      <c r="E21" s="10" t="inlineStr">
        <is>
          <t>pre</t>
        </is>
      </c>
      <c r="F21" s="15" t="n">
        <v>15</v>
      </c>
      <c r="G21" s="15" t="n">
        <v>17</v>
      </c>
      <c r="H21" s="15" t="n">
        <v>16</v>
      </c>
      <c r="I21" s="15" t="n">
        <v>15</v>
      </c>
      <c r="J21" s="15" t="n">
        <v>14</v>
      </c>
      <c r="K21" s="15" t="n">
        <v>16</v>
      </c>
      <c r="L21" s="15" t="n">
        <v>15</v>
      </c>
      <c r="M21" s="15" t="n">
        <v>17</v>
      </c>
      <c r="N21" s="15" t="n">
        <v>19</v>
      </c>
      <c r="O21" s="15" t="n">
        <v>19</v>
      </c>
      <c r="P21" s="16">
        <f>IF(COUNTIFS(F21:O21,"&gt;=0",F21:O21,"&lt;=20")=0,"",COUNTIFS(F21:O21,"&gt;=0",F21:O21,"&lt;=20"))</f>
        <v/>
      </c>
      <c r="Q21" s="16">
        <f>IF(P21="","",SUMIFS(F21:O21,F21:O21,"&gt;=0",F21:O21,"&lt;=20"))</f>
        <v/>
      </c>
      <c r="R21" s="16">
        <f>IF(P21="","",ROUND(Q21/P21,2))</f>
        <v/>
      </c>
      <c r="S21" s="10" t="n">
        <v>2026</v>
      </c>
      <c r="T21" s="15" t="n"/>
      <c r="U21" s="15" t="n"/>
      <c r="V21" s="15" t="n"/>
      <c r="W21" s="15" t="inlineStr">
        <is>
          <t>EJEMPLO: dato inventado, reemplazar</t>
        </is>
      </c>
    </row>
    <row r="22">
      <c r="A22" s="10" t="inlineStr">
        <is>
          <t>EST-013</t>
        </is>
      </c>
      <c r="B22" s="10" t="n">
        <v>4</v>
      </c>
      <c r="C22" s="15" t="inlineStr">
        <is>
          <t>B</t>
        </is>
      </c>
      <c r="D22" s="16">
        <f>IF(B22=3,"control",IF(B22=4,"experimental",""))</f>
        <v/>
      </c>
      <c r="E22" s="10" t="inlineStr">
        <is>
          <t>pre</t>
        </is>
      </c>
      <c r="F22" s="15" t="n">
        <v>11</v>
      </c>
      <c r="G22" s="15" t="n">
        <v>14</v>
      </c>
      <c r="H22" s="15" t="n">
        <v>11</v>
      </c>
      <c r="I22" s="15" t="n">
        <v>11</v>
      </c>
      <c r="J22" s="15" t="n">
        <v>15</v>
      </c>
      <c r="K22" s="15" t="n">
        <v>14</v>
      </c>
      <c r="L22" s="15" t="n">
        <v>14</v>
      </c>
      <c r="M22" s="15" t="n">
        <v>17</v>
      </c>
      <c r="N22" s="15" t="n">
        <v>15</v>
      </c>
      <c r="O22" s="15" t="n">
        <v>14</v>
      </c>
      <c r="P22" s="16">
        <f>IF(COUNTIFS(F22:O22,"&gt;=0",F22:O22,"&lt;=20")=0,"",COUNTIFS(F22:O22,"&gt;=0",F22:O22,"&lt;=20"))</f>
        <v/>
      </c>
      <c r="Q22" s="16">
        <f>IF(P22="","",SUMIFS(F22:O22,F22:O22,"&gt;=0",F22:O22,"&lt;=20"))</f>
        <v/>
      </c>
      <c r="R22" s="16">
        <f>IF(P22="","",ROUND(Q22/P22,2))</f>
        <v/>
      </c>
      <c r="S22" s="10" t="n">
        <v>2026</v>
      </c>
      <c r="T22" s="15" t="n"/>
      <c r="U22" s="15" t="n"/>
      <c r="V22" s="15" t="n"/>
      <c r="W22" s="15" t="inlineStr">
        <is>
          <t>EJEMPLO: dato inventado, reemplazar</t>
        </is>
      </c>
    </row>
    <row r="23">
      <c r="A23" s="10" t="inlineStr">
        <is>
          <t>EST-014</t>
        </is>
      </c>
      <c r="B23" s="10" t="n">
        <v>4</v>
      </c>
      <c r="C23" s="15" t="inlineStr">
        <is>
          <t>B</t>
        </is>
      </c>
      <c r="D23" s="16">
        <f>IF(B23=3,"control",IF(B23=4,"experimental",""))</f>
        <v/>
      </c>
      <c r="E23" s="10" t="inlineStr">
        <is>
          <t>pre</t>
        </is>
      </c>
      <c r="F23" s="15" t="n">
        <v>14</v>
      </c>
      <c r="G23" s="15" t="n">
        <v>11</v>
      </c>
      <c r="H23" s="15" t="n">
        <v>16</v>
      </c>
      <c r="I23" s="15" t="n">
        <v>16</v>
      </c>
      <c r="J23" s="15" t="n">
        <v>15</v>
      </c>
      <c r="K23" s="15" t="n">
        <v>13</v>
      </c>
      <c r="L23" s="15" t="n">
        <v>16</v>
      </c>
      <c r="M23" s="15" t="n">
        <v>15</v>
      </c>
      <c r="N23" s="15" t="n">
        <v>16</v>
      </c>
      <c r="O23" s="15" t="n">
        <v>13</v>
      </c>
      <c r="P23" s="16">
        <f>IF(COUNTIFS(F23:O23,"&gt;=0",F23:O23,"&lt;=20")=0,"",COUNTIFS(F23:O23,"&gt;=0",F23:O23,"&lt;=20"))</f>
        <v/>
      </c>
      <c r="Q23" s="16">
        <f>IF(P23="","",SUMIFS(F23:O23,F23:O23,"&gt;=0",F23:O23,"&lt;=20"))</f>
        <v/>
      </c>
      <c r="R23" s="16">
        <f>IF(P23="","",ROUND(Q23/P23,2))</f>
        <v/>
      </c>
      <c r="S23" s="10" t="n">
        <v>2026</v>
      </c>
      <c r="T23" s="15" t="n"/>
      <c r="U23" s="15" t="n"/>
      <c r="V23" s="15" t="n"/>
      <c r="W23" s="15" t="inlineStr">
        <is>
          <t>EJEMPLO: dato inventado, reemplazar</t>
        </is>
      </c>
    </row>
    <row r="24">
      <c r="A24" s="10" t="inlineStr">
        <is>
          <t>EST-015</t>
        </is>
      </c>
      <c r="B24" s="10" t="n">
        <v>4</v>
      </c>
      <c r="C24" s="15" t="inlineStr">
        <is>
          <t>B</t>
        </is>
      </c>
      <c r="D24" s="16">
        <f>IF(B24=3,"control",IF(B24=4,"experimental",""))</f>
        <v/>
      </c>
      <c r="E24" s="10" t="inlineStr">
        <is>
          <t>pre</t>
        </is>
      </c>
      <c r="F24" s="15" t="n">
        <v>13</v>
      </c>
      <c r="G24" s="15" t="n">
        <v>15</v>
      </c>
      <c r="H24" s="15" t="n">
        <v>11</v>
      </c>
      <c r="I24" s="15" t="n">
        <v>14</v>
      </c>
      <c r="J24" s="15" t="n">
        <v>12</v>
      </c>
      <c r="K24" s="15" t="n">
        <v>15</v>
      </c>
      <c r="L24" s="15" t="n">
        <v>13</v>
      </c>
      <c r="M24" s="15" t="n">
        <v>16</v>
      </c>
      <c r="N24" s="15" t="n">
        <v>17</v>
      </c>
      <c r="O24" s="15" t="n">
        <v>16</v>
      </c>
      <c r="P24" s="16">
        <f>IF(COUNTIFS(F24:O24,"&gt;=0",F24:O24,"&lt;=20")=0,"",COUNTIFS(F24:O24,"&gt;=0",F24:O24,"&lt;=20"))</f>
        <v/>
      </c>
      <c r="Q24" s="16">
        <f>IF(P24="","",SUMIFS(F24:O24,F24:O24,"&gt;=0",F24:O24,"&lt;=20"))</f>
        <v/>
      </c>
      <c r="R24" s="16">
        <f>IF(P24="","",ROUND(Q24/P24,2))</f>
        <v/>
      </c>
      <c r="S24" s="10" t="n">
        <v>2026</v>
      </c>
      <c r="T24" s="15" t="n"/>
      <c r="U24" s="15" t="n"/>
      <c r="V24" s="15" t="n"/>
      <c r="W24" s="15" t="inlineStr">
        <is>
          <t>EJEMPLO: dato inventado, reemplazar</t>
        </is>
      </c>
    </row>
    <row r="25">
      <c r="A25" s="10" t="inlineStr">
        <is>
          <t>EST-016</t>
        </is>
      </c>
      <c r="B25" s="10" t="n">
        <v>4</v>
      </c>
      <c r="C25" s="15" t="inlineStr">
        <is>
          <t>B</t>
        </is>
      </c>
      <c r="D25" s="16">
        <f>IF(B25=3,"control",IF(B25=4,"experimental",""))</f>
        <v/>
      </c>
      <c r="E25" s="10" t="inlineStr">
        <is>
          <t>pre</t>
        </is>
      </c>
      <c r="F25" s="15" t="n">
        <v>18</v>
      </c>
      <c r="G25" s="15" t="n">
        <v>14</v>
      </c>
      <c r="H25" s="15" t="n">
        <v>13</v>
      </c>
      <c r="I25" s="15" t="n">
        <v>13</v>
      </c>
      <c r="J25" s="15" t="n">
        <v>15</v>
      </c>
      <c r="K25" s="15" t="n">
        <v>11</v>
      </c>
      <c r="L25" s="15" t="n">
        <v>12</v>
      </c>
      <c r="M25" s="15" t="n">
        <v>11</v>
      </c>
      <c r="N25" s="15" t="n">
        <v>14</v>
      </c>
      <c r="O25" s="15" t="n">
        <v>15</v>
      </c>
      <c r="P25" s="16">
        <f>IF(COUNTIFS(F25:O25,"&gt;=0",F25:O25,"&lt;=20")=0,"",COUNTIFS(F25:O25,"&gt;=0",F25:O25,"&lt;=20"))</f>
        <v/>
      </c>
      <c r="Q25" s="16">
        <f>IF(P25="","",SUMIFS(F25:O25,F25:O25,"&gt;=0",F25:O25,"&lt;=20"))</f>
        <v/>
      </c>
      <c r="R25" s="16">
        <f>IF(P25="","",ROUND(Q25/P25,2))</f>
        <v/>
      </c>
      <c r="S25" s="10" t="n">
        <v>2026</v>
      </c>
      <c r="T25" s="15" t="n"/>
      <c r="U25" s="15" t="n"/>
      <c r="V25" s="15" t="n"/>
      <c r="W25" s="15" t="inlineStr">
        <is>
          <t>EJEMPLO: dato inventado, reemplazar</t>
        </is>
      </c>
    </row>
    <row r="26">
      <c r="A26" s="10" t="inlineStr">
        <is>
          <t>EST-017</t>
        </is>
      </c>
      <c r="B26" s="10" t="n">
        <v>4</v>
      </c>
      <c r="C26" s="15" t="inlineStr">
        <is>
          <t>B</t>
        </is>
      </c>
      <c r="D26" s="16">
        <f>IF(B26=3,"control",IF(B26=4,"experimental",""))</f>
        <v/>
      </c>
      <c r="E26" s="10" t="inlineStr">
        <is>
          <t>pre</t>
        </is>
      </c>
      <c r="F26" s="15" t="n">
        <v>15</v>
      </c>
      <c r="G26" s="15" t="n">
        <v>13</v>
      </c>
      <c r="H26" s="15" t="n">
        <v>14</v>
      </c>
      <c r="I26" s="15" t="n">
        <v>15</v>
      </c>
      <c r="J26" s="15" t="n">
        <v>15</v>
      </c>
      <c r="K26" s="15" t="n">
        <v>17</v>
      </c>
      <c r="L26" s="15" t="n">
        <v>15</v>
      </c>
      <c r="M26" s="15" t="n">
        <v>15</v>
      </c>
      <c r="N26" s="15" t="n">
        <v>15</v>
      </c>
      <c r="O26" s="15" t="n">
        <v>20</v>
      </c>
      <c r="P26" s="16">
        <f>IF(COUNTIFS(F26:O26,"&gt;=0",F26:O26,"&lt;=20")=0,"",COUNTIFS(F26:O26,"&gt;=0",F26:O26,"&lt;=20"))</f>
        <v/>
      </c>
      <c r="Q26" s="16">
        <f>IF(P26="","",SUMIFS(F26:O26,F26:O26,"&gt;=0",F26:O26,"&lt;=20"))</f>
        <v/>
      </c>
      <c r="R26" s="16">
        <f>IF(P26="","",ROUND(Q26/P26,2))</f>
        <v/>
      </c>
      <c r="S26" s="10" t="n">
        <v>2026</v>
      </c>
      <c r="T26" s="15" t="n"/>
      <c r="U26" s="15" t="n"/>
      <c r="V26" s="15" t="n"/>
      <c r="W26" s="15" t="inlineStr">
        <is>
          <t>EJEMPLO: dato inventado, reemplazar</t>
        </is>
      </c>
    </row>
    <row r="27">
      <c r="A27" s="10" t="inlineStr">
        <is>
          <t>EST-018</t>
        </is>
      </c>
      <c r="B27" s="10" t="n">
        <v>4</v>
      </c>
      <c r="C27" s="15" t="inlineStr">
        <is>
          <t>B</t>
        </is>
      </c>
      <c r="D27" s="16">
        <f>IF(B27=3,"control",IF(B27=4,"experimental",""))</f>
        <v/>
      </c>
      <c r="E27" s="10" t="inlineStr">
        <is>
          <t>pre</t>
        </is>
      </c>
      <c r="F27" s="15" t="n">
        <v>13</v>
      </c>
      <c r="G27" s="15" t="n">
        <v>14</v>
      </c>
      <c r="H27" s="15" t="n">
        <v>10</v>
      </c>
      <c r="I27" s="15" t="n">
        <v>12</v>
      </c>
      <c r="J27" s="15" t="n">
        <v>12</v>
      </c>
      <c r="K27" s="15" t="n">
        <v>10</v>
      </c>
      <c r="L27" s="15" t="n">
        <v>11</v>
      </c>
      <c r="M27" s="15" t="n">
        <v>13</v>
      </c>
      <c r="N27" s="15" t="n">
        <v>13</v>
      </c>
      <c r="O27" s="15" t="n">
        <v>12</v>
      </c>
      <c r="P27" s="16">
        <f>IF(COUNTIFS(F27:O27,"&gt;=0",F27:O27,"&lt;=20")=0,"",COUNTIFS(F27:O27,"&gt;=0",F27:O27,"&lt;=20"))</f>
        <v/>
      </c>
      <c r="Q27" s="16">
        <f>IF(P27="","",SUMIFS(F27:O27,F27:O27,"&gt;=0",F27:O27,"&lt;=20"))</f>
        <v/>
      </c>
      <c r="R27" s="16">
        <f>IF(P27="","",ROUND(Q27/P27,2))</f>
        <v/>
      </c>
      <c r="S27" s="10" t="n">
        <v>2026</v>
      </c>
      <c r="T27" s="15" t="n"/>
      <c r="U27" s="15" t="n"/>
      <c r="V27" s="15" t="n"/>
      <c r="W27" s="15" t="inlineStr">
        <is>
          <t>EJEMPLO: dato inventado, reemplazar</t>
        </is>
      </c>
    </row>
    <row r="28">
      <c r="A28" s="10" t="inlineStr">
        <is>
          <t>EST-019</t>
        </is>
      </c>
      <c r="B28" s="10" t="n">
        <v>4</v>
      </c>
      <c r="C28" s="15" t="inlineStr">
        <is>
          <t>B</t>
        </is>
      </c>
      <c r="D28" s="16">
        <f>IF(B28=3,"control",IF(B28=4,"experimental",""))</f>
        <v/>
      </c>
      <c r="E28" s="10" t="inlineStr">
        <is>
          <t>pre</t>
        </is>
      </c>
      <c r="F28" s="15" t="n">
        <v>16</v>
      </c>
      <c r="G28" s="15" t="n">
        <v>16</v>
      </c>
      <c r="H28" s="15" t="n">
        <v>18</v>
      </c>
      <c r="I28" s="15" t="n">
        <v>18</v>
      </c>
      <c r="J28" s="15" t="n">
        <v>12</v>
      </c>
      <c r="K28" s="15" t="n">
        <v>14</v>
      </c>
      <c r="L28" s="15" t="n">
        <v>14</v>
      </c>
      <c r="M28" s="15" t="n">
        <v>18</v>
      </c>
      <c r="N28" s="15" t="n">
        <v>14</v>
      </c>
      <c r="O28" s="15" t="n">
        <v>14</v>
      </c>
      <c r="P28" s="16">
        <f>IF(COUNTIFS(F28:O28,"&gt;=0",F28:O28,"&lt;=20")=0,"",COUNTIFS(F28:O28,"&gt;=0",F28:O28,"&lt;=20"))</f>
        <v/>
      </c>
      <c r="Q28" s="16">
        <f>IF(P28="","",SUMIFS(F28:O28,F28:O28,"&gt;=0",F28:O28,"&lt;=20"))</f>
        <v/>
      </c>
      <c r="R28" s="16">
        <f>IF(P28="","",ROUND(Q28/P28,2))</f>
        <v/>
      </c>
      <c r="S28" s="10" t="n">
        <v>2026</v>
      </c>
      <c r="T28" s="15" t="n"/>
      <c r="U28" s="15" t="n"/>
      <c r="V28" s="15" t="n"/>
      <c r="W28" s="15" t="inlineStr">
        <is>
          <t>EJEMPLO: dato inventado, reemplazar</t>
        </is>
      </c>
    </row>
    <row r="29">
      <c r="A29" s="10" t="inlineStr">
        <is>
          <t>EST-020</t>
        </is>
      </c>
      <c r="B29" s="10" t="n">
        <v>4</v>
      </c>
      <c r="C29" s="15" t="inlineStr">
        <is>
          <t>B</t>
        </is>
      </c>
      <c r="D29" s="16">
        <f>IF(B29=3,"control",IF(B29=4,"experimental",""))</f>
        <v/>
      </c>
      <c r="E29" s="10" t="inlineStr">
        <is>
          <t>pre</t>
        </is>
      </c>
      <c r="F29" s="15" t="n">
        <v>10</v>
      </c>
      <c r="G29" s="15" t="n">
        <v>16</v>
      </c>
      <c r="H29" s="15" t="n">
        <v>17</v>
      </c>
      <c r="I29" s="15" t="n">
        <v>13</v>
      </c>
      <c r="J29" s="15" t="n">
        <v>16</v>
      </c>
      <c r="K29" s="15" t="n">
        <v>13</v>
      </c>
      <c r="L29" s="15" t="n">
        <v>16</v>
      </c>
      <c r="M29" s="15" t="n">
        <v>14</v>
      </c>
      <c r="N29" s="15" t="n">
        <v>16</v>
      </c>
      <c r="O29" s="15" t="n">
        <v>14</v>
      </c>
      <c r="P29" s="16">
        <f>IF(COUNTIFS(F29:O29,"&gt;=0",F29:O29,"&lt;=20")=0,"",COUNTIFS(F29:O29,"&gt;=0",F29:O29,"&lt;=20"))</f>
        <v/>
      </c>
      <c r="Q29" s="16">
        <f>IF(P29="","",SUMIFS(F29:O29,F29:O29,"&gt;=0",F29:O29,"&lt;=20"))</f>
        <v/>
      </c>
      <c r="R29" s="16">
        <f>IF(P29="","",ROUND(Q29/P29,2))</f>
        <v/>
      </c>
      <c r="S29" s="10" t="n">
        <v>2026</v>
      </c>
      <c r="T29" s="15" t="n"/>
      <c r="U29" s="15" t="inlineStr">
        <is>
          <t>sí</t>
        </is>
      </c>
      <c r="V29" s="15" t="inlineStr">
        <is>
          <t>traslado definitivo</t>
        </is>
      </c>
      <c r="W29" s="15" t="inlineStr">
        <is>
          <t>EJEMPLO: dato inventado, reemplazar</t>
        </is>
      </c>
    </row>
    <row r="30">
      <c r="A30" s="10" t="inlineStr">
        <is>
          <t>EST-021</t>
        </is>
      </c>
      <c r="B30" s="10" t="n">
        <v>4</v>
      </c>
      <c r="C30" s="15" t="inlineStr">
        <is>
          <t>B</t>
        </is>
      </c>
      <c r="D30" s="16">
        <f>IF(B30=3,"control",IF(B30=4,"experimental",""))</f>
        <v/>
      </c>
      <c r="E30" s="10" t="inlineStr">
        <is>
          <t>pre</t>
        </is>
      </c>
      <c r="F30" s="15" t="n">
        <v>11</v>
      </c>
      <c r="G30" s="15" t="n">
        <v>16</v>
      </c>
      <c r="H30" s="15" t="n">
        <v>12</v>
      </c>
      <c r="I30" s="15" t="n">
        <v>11</v>
      </c>
      <c r="J30" s="15" t="n">
        <v>12</v>
      </c>
      <c r="K30" s="15" t="n">
        <v>10</v>
      </c>
      <c r="L30" s="15" t="n">
        <v>14</v>
      </c>
      <c r="M30" s="15" t="n">
        <v>11</v>
      </c>
      <c r="N30" s="15" t="n">
        <v>11</v>
      </c>
      <c r="O30" s="15" t="n">
        <v>14</v>
      </c>
      <c r="P30" s="16">
        <f>IF(COUNTIFS(F30:O30,"&gt;=0",F30:O30,"&lt;=20")=0,"",COUNTIFS(F30:O30,"&gt;=0",F30:O30,"&lt;=20"))</f>
        <v/>
      </c>
      <c r="Q30" s="16">
        <f>IF(P30="","",SUMIFS(F30:O30,F30:O30,"&gt;=0",F30:O30,"&lt;=20"))</f>
        <v/>
      </c>
      <c r="R30" s="16">
        <f>IF(P30="","",ROUND(Q30/P30,2))</f>
        <v/>
      </c>
      <c r="S30" s="10" t="n">
        <v>2026</v>
      </c>
      <c r="T30" s="15" t="n"/>
      <c r="U30" s="15" t="n"/>
      <c r="V30" s="15" t="n"/>
      <c r="W30" s="15" t="inlineStr">
        <is>
          <t>EJEMPLO: dato inventado, reemplazar</t>
        </is>
      </c>
    </row>
    <row r="31">
      <c r="A31" s="10" t="inlineStr">
        <is>
          <t>EST-022</t>
        </is>
      </c>
      <c r="B31" s="10" t="n">
        <v>4</v>
      </c>
      <c r="C31" s="15" t="inlineStr">
        <is>
          <t>B</t>
        </is>
      </c>
      <c r="D31" s="16">
        <f>IF(B31=3,"control",IF(B31=4,"experimental",""))</f>
        <v/>
      </c>
      <c r="E31" s="10" t="inlineStr">
        <is>
          <t>pre</t>
        </is>
      </c>
      <c r="F31" s="15" t="n">
        <v>16</v>
      </c>
      <c r="G31" s="15" t="n">
        <v>16</v>
      </c>
      <c r="H31" s="15" t="n">
        <v>14</v>
      </c>
      <c r="I31" s="15" t="n">
        <v>13</v>
      </c>
      <c r="J31" s="15" t="n">
        <v>18</v>
      </c>
      <c r="K31" s="15" t="n">
        <v>16</v>
      </c>
      <c r="L31" s="15" t="n">
        <v>14</v>
      </c>
      <c r="M31" s="15" t="n">
        <v>17</v>
      </c>
      <c r="N31" s="15" t="n">
        <v>15</v>
      </c>
      <c r="O31" s="15" t="n">
        <v>17</v>
      </c>
      <c r="P31" s="16">
        <f>IF(COUNTIFS(F31:O31,"&gt;=0",F31:O31,"&lt;=20")=0,"",COUNTIFS(F31:O31,"&gt;=0",F31:O31,"&lt;=20"))</f>
        <v/>
      </c>
      <c r="Q31" s="16">
        <f>IF(P31="","",SUMIFS(F31:O31,F31:O31,"&gt;=0",F31:O31,"&lt;=20"))</f>
        <v/>
      </c>
      <c r="R31" s="16">
        <f>IF(P31="","",ROUND(Q31/P31,2))</f>
        <v/>
      </c>
      <c r="S31" s="10" t="n">
        <v>2026</v>
      </c>
      <c r="T31" s="15" t="n"/>
      <c r="U31" s="15" t="n"/>
      <c r="V31" s="15" t="n"/>
      <c r="W31" s="15" t="inlineStr">
        <is>
          <t>EJEMPLO: dato inventado, reemplazar</t>
        </is>
      </c>
    </row>
    <row r="32">
      <c r="A32" s="10" t="inlineStr">
        <is>
          <t>EST-023</t>
        </is>
      </c>
      <c r="B32" s="10" t="n">
        <v>4</v>
      </c>
      <c r="C32" s="15" t="inlineStr">
        <is>
          <t>B</t>
        </is>
      </c>
      <c r="D32" s="16">
        <f>IF(B32=3,"control",IF(B32=4,"experimental",""))</f>
        <v/>
      </c>
      <c r="E32" s="10" t="inlineStr">
        <is>
          <t>pre</t>
        </is>
      </c>
      <c r="F32" s="15" t="n">
        <v>15</v>
      </c>
      <c r="G32" s="15" t="n">
        <v>11</v>
      </c>
      <c r="H32" s="15" t="n">
        <v>11</v>
      </c>
      <c r="I32" s="15" t="n">
        <v>13</v>
      </c>
      <c r="J32" s="15" t="n">
        <v>12</v>
      </c>
      <c r="K32" s="15" t="n">
        <v>12</v>
      </c>
      <c r="L32" s="15" t="n">
        <v>12</v>
      </c>
      <c r="M32" s="15" t="n">
        <v>14</v>
      </c>
      <c r="N32" s="15" t="n">
        <v>12</v>
      </c>
      <c r="O32" s="15" t="n">
        <v>14</v>
      </c>
      <c r="P32" s="16">
        <f>IF(COUNTIFS(F32:O32,"&gt;=0",F32:O32,"&lt;=20")=0,"",COUNTIFS(F32:O32,"&gt;=0",F32:O32,"&lt;=20"))</f>
        <v/>
      </c>
      <c r="Q32" s="16">
        <f>IF(P32="","",SUMIFS(F32:O32,F32:O32,"&gt;=0",F32:O32,"&lt;=20"))</f>
        <v/>
      </c>
      <c r="R32" s="16">
        <f>IF(P32="","",ROUND(Q32/P32,2))</f>
        <v/>
      </c>
      <c r="S32" s="10" t="n">
        <v>2026</v>
      </c>
      <c r="T32" s="15" t="n"/>
      <c r="U32" s="15" t="n"/>
      <c r="V32" s="15" t="n"/>
      <c r="W32" s="15" t="inlineStr">
        <is>
          <t>EJEMPLO: dato inventado, reemplazar</t>
        </is>
      </c>
    </row>
    <row r="33">
      <c r="A33" s="10" t="inlineStr">
        <is>
          <t>EST-024</t>
        </is>
      </c>
      <c r="B33" s="10" t="n">
        <v>4</v>
      </c>
      <c r="C33" s="15" t="inlineStr">
        <is>
          <t>B</t>
        </is>
      </c>
      <c r="D33" s="16">
        <f>IF(B33=3,"control",IF(B33=4,"experimental",""))</f>
        <v/>
      </c>
      <c r="E33" s="10" t="inlineStr">
        <is>
          <t>pre</t>
        </is>
      </c>
      <c r="F33" s="15" t="n">
        <v>10</v>
      </c>
      <c r="G33" s="15" t="n">
        <v>9</v>
      </c>
      <c r="H33" s="15" t="n">
        <v>11</v>
      </c>
      <c r="I33" s="15" t="n">
        <v>13</v>
      </c>
      <c r="J33" s="15" t="n">
        <v>11</v>
      </c>
      <c r="K33" s="15" t="n">
        <v>10</v>
      </c>
      <c r="L33" s="15" t="n">
        <v>12</v>
      </c>
      <c r="M33" s="15" t="n">
        <v>15</v>
      </c>
      <c r="N33" s="15" t="n">
        <v>18</v>
      </c>
      <c r="O33" s="15" t="n">
        <v>13</v>
      </c>
      <c r="P33" s="16">
        <f>IF(COUNTIFS(F33:O33,"&gt;=0",F33:O33,"&lt;=20")=0,"",COUNTIFS(F33:O33,"&gt;=0",F33:O33,"&lt;=20"))</f>
        <v/>
      </c>
      <c r="Q33" s="16">
        <f>IF(P33="","",SUMIFS(F33:O33,F33:O33,"&gt;=0",F33:O33,"&lt;=20"))</f>
        <v/>
      </c>
      <c r="R33" s="16">
        <f>IF(P33="","",ROUND(Q33/P33,2))</f>
        <v/>
      </c>
      <c r="S33" s="10" t="n">
        <v>2026</v>
      </c>
      <c r="T33" s="15" t="n"/>
      <c r="U33" s="15" t="n"/>
      <c r="V33" s="15" t="n"/>
      <c r="W33" s="15" t="inlineStr">
        <is>
          <t>EJEMPLO: dato inventado, reemplazar</t>
        </is>
      </c>
    </row>
    <row r="34">
      <c r="A34" s="10" t="inlineStr">
        <is>
          <t>EST-025</t>
        </is>
      </c>
      <c r="B34" s="10" t="n">
        <v>4</v>
      </c>
      <c r="C34" s="15" t="inlineStr">
        <is>
          <t>B</t>
        </is>
      </c>
      <c r="D34" s="16">
        <f>IF(B34=3,"control",IF(B34=4,"experimental",""))</f>
        <v/>
      </c>
      <c r="E34" s="10" t="inlineStr">
        <is>
          <t>pre</t>
        </is>
      </c>
      <c r="F34" s="15" t="n">
        <v>14</v>
      </c>
      <c r="G34" s="15" t="n">
        <v>9</v>
      </c>
      <c r="H34" s="15" t="n">
        <v>7</v>
      </c>
      <c r="I34" s="15" t="n">
        <v>14</v>
      </c>
      <c r="J34" s="15" t="n">
        <v>12</v>
      </c>
      <c r="K34" s="15" t="n">
        <v>10</v>
      </c>
      <c r="L34" s="15" t="n">
        <v>12</v>
      </c>
      <c r="M34" s="15" t="n">
        <v>9</v>
      </c>
      <c r="N34" s="15" t="n">
        <v>11</v>
      </c>
      <c r="O34" s="15" t="n">
        <v>12</v>
      </c>
      <c r="P34" s="16">
        <f>IF(COUNTIFS(F34:O34,"&gt;=0",F34:O34,"&lt;=20")=0,"",COUNTIFS(F34:O34,"&gt;=0",F34:O34,"&lt;=20"))</f>
        <v/>
      </c>
      <c r="Q34" s="16">
        <f>IF(P34="","",SUMIFS(F34:O34,F34:O34,"&gt;=0",F34:O34,"&lt;=20"))</f>
        <v/>
      </c>
      <c r="R34" s="16">
        <f>IF(P34="","",ROUND(Q34/P34,2))</f>
        <v/>
      </c>
      <c r="S34" s="10" t="n">
        <v>2026</v>
      </c>
      <c r="T34" s="15" t="n"/>
      <c r="U34" s="15" t="n"/>
      <c r="V34" s="15" t="n"/>
      <c r="W34" s="15" t="inlineStr">
        <is>
          <t>EJEMPLO: dato inventado, reemplazar</t>
        </is>
      </c>
    </row>
    <row r="35">
      <c r="A35" s="10" t="inlineStr">
        <is>
          <t>EST-026</t>
        </is>
      </c>
      <c r="B35" s="10" t="n">
        <v>4</v>
      </c>
      <c r="C35" s="15" t="inlineStr">
        <is>
          <t>B</t>
        </is>
      </c>
      <c r="D35" s="16">
        <f>IF(B35=3,"control",IF(B35=4,"experimental",""))</f>
        <v/>
      </c>
      <c r="E35" s="10" t="inlineStr">
        <is>
          <t>pre</t>
        </is>
      </c>
      <c r="F35" s="15" t="n">
        <v>10</v>
      </c>
      <c r="G35" s="15" t="n">
        <v>11</v>
      </c>
      <c r="H35" s="15" t="n">
        <v>11</v>
      </c>
      <c r="I35" s="15" t="n">
        <v>11</v>
      </c>
      <c r="J35" s="15" t="n">
        <v>15</v>
      </c>
      <c r="K35" s="15" t="n">
        <v>9</v>
      </c>
      <c r="L35" s="15" t="n">
        <v>13</v>
      </c>
      <c r="M35" s="15" t="n">
        <v>8</v>
      </c>
      <c r="N35" s="15" t="n">
        <v>10</v>
      </c>
      <c r="O35" s="15" t="n">
        <v>8</v>
      </c>
      <c r="P35" s="16">
        <f>IF(COUNTIFS(F35:O35,"&gt;=0",F35:O35,"&lt;=20")=0,"",COUNTIFS(F35:O35,"&gt;=0",F35:O35,"&lt;=20"))</f>
        <v/>
      </c>
      <c r="Q35" s="16">
        <f>IF(P35="","",SUMIFS(F35:O35,F35:O35,"&gt;=0",F35:O35,"&lt;=20"))</f>
        <v/>
      </c>
      <c r="R35" s="16">
        <f>IF(P35="","",ROUND(Q35/P35,2))</f>
        <v/>
      </c>
      <c r="S35" s="10" t="n">
        <v>2026</v>
      </c>
      <c r="T35" s="15" t="n"/>
      <c r="U35" s="15" t="n"/>
      <c r="V35" s="15" t="n"/>
      <c r="W35" s="15" t="inlineStr">
        <is>
          <t>EJEMPLO: dato inventado, reemplazar</t>
        </is>
      </c>
    </row>
    <row r="36">
      <c r="A36" s="10" t="inlineStr">
        <is>
          <t>EST-027</t>
        </is>
      </c>
      <c r="B36" s="10" t="n">
        <v>4</v>
      </c>
      <c r="C36" s="15" t="inlineStr">
        <is>
          <t>B</t>
        </is>
      </c>
      <c r="D36" s="16">
        <f>IF(B36=3,"control",IF(B36=4,"experimental",""))</f>
        <v/>
      </c>
      <c r="E36" s="10" t="inlineStr">
        <is>
          <t>pre</t>
        </is>
      </c>
      <c r="F36" s="15" t="n">
        <v>14</v>
      </c>
      <c r="G36" s="15" t="n">
        <v>14</v>
      </c>
      <c r="H36" s="15" t="n">
        <v>12</v>
      </c>
      <c r="I36" s="15" t="n">
        <v>12</v>
      </c>
      <c r="J36" s="15" t="n">
        <v>12</v>
      </c>
      <c r="K36" s="15" t="n">
        <v>15</v>
      </c>
      <c r="L36" s="15" t="n">
        <v>10</v>
      </c>
      <c r="M36" s="15" t="n">
        <v>10</v>
      </c>
      <c r="N36" s="15" t="n">
        <v>13</v>
      </c>
      <c r="O36" s="15" t="n">
        <v>11</v>
      </c>
      <c r="P36" s="16">
        <f>IF(COUNTIFS(F36:O36,"&gt;=0",F36:O36,"&lt;=20")=0,"",COUNTIFS(F36:O36,"&gt;=0",F36:O36,"&lt;=20"))</f>
        <v/>
      </c>
      <c r="Q36" s="16">
        <f>IF(P36="","",SUMIFS(F36:O36,F36:O36,"&gt;=0",F36:O36,"&lt;=20"))</f>
        <v/>
      </c>
      <c r="R36" s="16">
        <f>IF(P36="","",ROUND(Q36/P36,2))</f>
        <v/>
      </c>
      <c r="S36" s="10" t="n">
        <v>2026</v>
      </c>
      <c r="T36" s="15" t="n"/>
      <c r="U36" s="15" t="n"/>
      <c r="V36" s="15" t="n"/>
      <c r="W36" s="15" t="inlineStr">
        <is>
          <t>EJEMPLO: dato inventado, reemplazar</t>
        </is>
      </c>
    </row>
    <row r="37">
      <c r="A37" s="10" t="inlineStr">
        <is>
          <t>EST-028</t>
        </is>
      </c>
      <c r="B37" s="10" t="n">
        <v>4</v>
      </c>
      <c r="C37" s="15" t="inlineStr">
        <is>
          <t>B</t>
        </is>
      </c>
      <c r="D37" s="16">
        <f>IF(B37=3,"control",IF(B37=4,"experimental",""))</f>
        <v/>
      </c>
      <c r="E37" s="10" t="inlineStr">
        <is>
          <t>pre</t>
        </is>
      </c>
      <c r="F37" s="15" t="n">
        <v>14</v>
      </c>
      <c r="G37" s="15" t="n">
        <v>15</v>
      </c>
      <c r="H37" s="15" t="n">
        <v>15</v>
      </c>
      <c r="I37" s="15" t="n">
        <v>13</v>
      </c>
      <c r="J37" s="15" t="n">
        <v>15</v>
      </c>
      <c r="K37" s="15" t="n">
        <v>16</v>
      </c>
      <c r="L37" s="15" t="n">
        <v>12</v>
      </c>
      <c r="M37" s="15" t="n">
        <v>13</v>
      </c>
      <c r="N37" s="15" t="n">
        <v>16</v>
      </c>
      <c r="O37" s="15" t="n">
        <v>16</v>
      </c>
      <c r="P37" s="16">
        <f>IF(COUNTIFS(F37:O37,"&gt;=0",F37:O37,"&lt;=20")=0,"",COUNTIFS(F37:O37,"&gt;=0",F37:O37,"&lt;=20"))</f>
        <v/>
      </c>
      <c r="Q37" s="16">
        <f>IF(P37="","",SUMIFS(F37:O37,F37:O37,"&gt;=0",F37:O37,"&lt;=20"))</f>
        <v/>
      </c>
      <c r="R37" s="16">
        <f>IF(P37="","",ROUND(Q37/P37,2))</f>
        <v/>
      </c>
      <c r="S37" s="10" t="n">
        <v>2026</v>
      </c>
      <c r="T37" s="15" t="n"/>
      <c r="U37" s="15" t="n"/>
      <c r="V37" s="15" t="n"/>
      <c r="W37" s="15" t="inlineStr">
        <is>
          <t>EJEMPLO: dato inventado, reemplazar</t>
        </is>
      </c>
    </row>
    <row r="38">
      <c r="A38" s="10" t="inlineStr">
        <is>
          <t>EST-029</t>
        </is>
      </c>
      <c r="B38" s="10" t="n">
        <v>4</v>
      </c>
      <c r="C38" s="15" t="inlineStr">
        <is>
          <t>B</t>
        </is>
      </c>
      <c r="D38" s="16">
        <f>IF(B38=3,"control",IF(B38=4,"experimental",""))</f>
        <v/>
      </c>
      <c r="E38" s="10" t="inlineStr">
        <is>
          <t>pre</t>
        </is>
      </c>
      <c r="F38" s="15" t="n">
        <v>15</v>
      </c>
      <c r="G38" s="15" t="n">
        <v>15</v>
      </c>
      <c r="H38" s="15" t="n">
        <v>13</v>
      </c>
      <c r="I38" s="15" t="n">
        <v>14</v>
      </c>
      <c r="J38" s="15" t="n">
        <v>12</v>
      </c>
      <c r="K38" s="15" t="n">
        <v>16</v>
      </c>
      <c r="L38" s="15" t="n">
        <v>19</v>
      </c>
      <c r="M38" s="15" t="n">
        <v>12</v>
      </c>
      <c r="N38" s="15" t="n">
        <v>16</v>
      </c>
      <c r="O38" s="15" t="n">
        <v>15</v>
      </c>
      <c r="P38" s="16">
        <f>IF(COUNTIFS(F38:O38,"&gt;=0",F38:O38,"&lt;=20")=0,"",COUNTIFS(F38:O38,"&gt;=0",F38:O38,"&lt;=20"))</f>
        <v/>
      </c>
      <c r="Q38" s="16">
        <f>IF(P38="","",SUMIFS(F38:O38,F38:O38,"&gt;=0",F38:O38,"&lt;=20"))</f>
        <v/>
      </c>
      <c r="R38" s="16">
        <f>IF(P38="","",ROUND(Q38/P38,2))</f>
        <v/>
      </c>
      <c r="S38" s="10" t="n">
        <v>2026</v>
      </c>
      <c r="T38" s="15" t="n"/>
      <c r="U38" s="15" t="n"/>
      <c r="V38" s="15" t="n"/>
      <c r="W38" s="15" t="inlineStr">
        <is>
          <t>EJEMPLO: dato inventado, reemplazar</t>
        </is>
      </c>
    </row>
    <row r="39">
      <c r="A39" s="10" t="inlineStr">
        <is>
          <t>EST-030</t>
        </is>
      </c>
      <c r="B39" s="10" t="n">
        <v>4</v>
      </c>
      <c r="C39" s="15" t="inlineStr">
        <is>
          <t>B</t>
        </is>
      </c>
      <c r="D39" s="16">
        <f>IF(B39=3,"control",IF(B39=4,"experimental",""))</f>
        <v/>
      </c>
      <c r="E39" s="10" t="inlineStr">
        <is>
          <t>pre</t>
        </is>
      </c>
      <c r="F39" s="15" t="n">
        <v>17</v>
      </c>
      <c r="G39" s="15" t="n">
        <v>14</v>
      </c>
      <c r="H39" s="15" t="n">
        <v>17</v>
      </c>
      <c r="I39" s="15" t="n">
        <v>13</v>
      </c>
      <c r="J39" s="15" t="n">
        <v>17</v>
      </c>
      <c r="K39" s="15" t="n">
        <v>15</v>
      </c>
      <c r="L39" s="15" t="n">
        <v>14</v>
      </c>
      <c r="M39" s="15" t="n">
        <v>16</v>
      </c>
      <c r="N39" s="15" t="n">
        <v>16</v>
      </c>
      <c r="O39" s="15" t="n">
        <v>17</v>
      </c>
      <c r="P39" s="16">
        <f>IF(COUNTIFS(F39:O39,"&gt;=0",F39:O39,"&lt;=20")=0,"",COUNTIFS(F39:O39,"&gt;=0",F39:O39,"&lt;=20"))</f>
        <v/>
      </c>
      <c r="Q39" s="16">
        <f>IF(P39="","",SUMIFS(F39:O39,F39:O39,"&gt;=0",F39:O39,"&lt;=20"))</f>
        <v/>
      </c>
      <c r="R39" s="16">
        <f>IF(P39="","",ROUND(Q39/P39,2))</f>
        <v/>
      </c>
      <c r="S39" s="10" t="n">
        <v>2026</v>
      </c>
      <c r="T39" s="15" t="n"/>
      <c r="U39" s="15" t="n"/>
      <c r="V39" s="15" t="n"/>
      <c r="W39" s="15" t="inlineStr">
        <is>
          <t>EJEMPLO: dato inventado, reemplazar</t>
        </is>
      </c>
    </row>
    <row r="40">
      <c r="A40" s="10" t="inlineStr">
        <is>
          <t>EST-031</t>
        </is>
      </c>
      <c r="B40" s="10" t="n">
        <v>4</v>
      </c>
      <c r="C40" s="15" t="inlineStr">
        <is>
          <t>B</t>
        </is>
      </c>
      <c r="D40" s="16">
        <f>IF(B40=3,"control",IF(B40=4,"experimental",""))</f>
        <v/>
      </c>
      <c r="E40" s="10" t="inlineStr">
        <is>
          <t>pre</t>
        </is>
      </c>
      <c r="F40" s="15" t="n">
        <v>10</v>
      </c>
      <c r="G40" s="15" t="n">
        <v>9</v>
      </c>
      <c r="H40" s="15" t="n">
        <v>9</v>
      </c>
      <c r="I40" s="15" t="n">
        <v>9</v>
      </c>
      <c r="J40" s="15" t="n">
        <v>8</v>
      </c>
      <c r="K40" s="15" t="n">
        <v>14</v>
      </c>
      <c r="L40" s="15" t="n">
        <v>12</v>
      </c>
      <c r="M40" s="15" t="n">
        <v>12</v>
      </c>
      <c r="N40" s="15" t="n">
        <v>12</v>
      </c>
      <c r="O40" s="15" t="n">
        <v>8</v>
      </c>
      <c r="P40" s="16">
        <f>IF(COUNTIFS(F40:O40,"&gt;=0",F40:O40,"&lt;=20")=0,"",COUNTIFS(F40:O40,"&gt;=0",F40:O40,"&lt;=20"))</f>
        <v/>
      </c>
      <c r="Q40" s="16">
        <f>IF(P40="","",SUMIFS(F40:O40,F40:O40,"&gt;=0",F40:O40,"&lt;=20"))</f>
        <v/>
      </c>
      <c r="R40" s="16">
        <f>IF(P40="","",ROUND(Q40/P40,2))</f>
        <v/>
      </c>
      <c r="S40" s="10" t="n">
        <v>2026</v>
      </c>
      <c r="T40" s="15" t="n"/>
      <c r="U40" s="15" t="n"/>
      <c r="V40" s="15" t="n"/>
      <c r="W40" s="15" t="inlineStr">
        <is>
          <t>EJEMPLO: dato inventado, reemplazar</t>
        </is>
      </c>
    </row>
    <row r="41">
      <c r="A41" s="10" t="inlineStr">
        <is>
          <t>EST-032</t>
        </is>
      </c>
      <c r="B41" s="10" t="n">
        <v>4</v>
      </c>
      <c r="C41" s="15" t="inlineStr">
        <is>
          <t>B</t>
        </is>
      </c>
      <c r="D41" s="16">
        <f>IF(B41=3,"control",IF(B41=4,"experimental",""))</f>
        <v/>
      </c>
      <c r="E41" s="10" t="inlineStr">
        <is>
          <t>pre</t>
        </is>
      </c>
      <c r="F41" s="15" t="n">
        <v>13</v>
      </c>
      <c r="G41" s="15" t="n">
        <v>12</v>
      </c>
      <c r="H41" s="15" t="n">
        <v>10</v>
      </c>
      <c r="I41" s="15" t="n">
        <v>14</v>
      </c>
      <c r="J41" s="15" t="n">
        <v>12</v>
      </c>
      <c r="K41" s="15" t="n">
        <v>13</v>
      </c>
      <c r="L41" s="15" t="n">
        <v>10</v>
      </c>
      <c r="M41" s="15" t="n">
        <v>11</v>
      </c>
      <c r="N41" s="15" t="n">
        <v>14</v>
      </c>
      <c r="O41" s="15" t="n">
        <v>10</v>
      </c>
      <c r="P41" s="16">
        <f>IF(COUNTIFS(F41:O41,"&gt;=0",F41:O41,"&lt;=20")=0,"",COUNTIFS(F41:O41,"&gt;=0",F41:O41,"&lt;=20"))</f>
        <v/>
      </c>
      <c r="Q41" s="16">
        <f>IF(P41="","",SUMIFS(F41:O41,F41:O41,"&gt;=0",F41:O41,"&lt;=20"))</f>
        <v/>
      </c>
      <c r="R41" s="16">
        <f>IF(P41="","",ROUND(Q41/P41,2))</f>
        <v/>
      </c>
      <c r="S41" s="10" t="n">
        <v>2026</v>
      </c>
      <c r="T41" s="15" t="n"/>
      <c r="U41" s="15" t="n"/>
      <c r="V41" s="15" t="n"/>
      <c r="W41" s="15" t="inlineStr">
        <is>
          <t>EJEMPLO: dato inventado, reemplazar</t>
        </is>
      </c>
    </row>
    <row r="42">
      <c r="A42" s="10" t="inlineStr">
        <is>
          <t>EST-033</t>
        </is>
      </c>
      <c r="B42" s="10" t="n">
        <v>4</v>
      </c>
      <c r="C42" s="15" t="inlineStr">
        <is>
          <t>B</t>
        </is>
      </c>
      <c r="D42" s="16">
        <f>IF(B42=3,"control",IF(B42=4,"experimental",""))</f>
        <v/>
      </c>
      <c r="E42" s="10" t="inlineStr">
        <is>
          <t>pre</t>
        </is>
      </c>
      <c r="F42" s="15" t="n">
        <v>12</v>
      </c>
      <c r="G42" s="15" t="n">
        <v>14</v>
      </c>
      <c r="H42" s="15" t="n">
        <v>9</v>
      </c>
      <c r="I42" s="15" t="n">
        <v>14</v>
      </c>
      <c r="J42" s="15" t="n">
        <v>8</v>
      </c>
      <c r="K42" s="15" t="n">
        <v>13</v>
      </c>
      <c r="L42" s="15" t="n">
        <v>10</v>
      </c>
      <c r="M42" s="15" t="n">
        <v>12</v>
      </c>
      <c r="N42" s="15" t="n">
        <v>11</v>
      </c>
      <c r="O42" s="15" t="n">
        <v>9</v>
      </c>
      <c r="P42" s="16">
        <f>IF(COUNTIFS(F42:O42,"&gt;=0",F42:O42,"&lt;=20")=0,"",COUNTIFS(F42:O42,"&gt;=0",F42:O42,"&lt;=20"))</f>
        <v/>
      </c>
      <c r="Q42" s="16">
        <f>IF(P42="","",SUMIFS(F42:O42,F42:O42,"&gt;=0",F42:O42,"&lt;=20"))</f>
        <v/>
      </c>
      <c r="R42" s="16">
        <f>IF(P42="","",ROUND(Q42/P42,2))</f>
        <v/>
      </c>
      <c r="S42" s="10" t="n">
        <v>2026</v>
      </c>
      <c r="T42" s="15" t="n"/>
      <c r="U42" s="15" t="n"/>
      <c r="V42" s="15" t="n"/>
      <c r="W42" s="15" t="inlineStr">
        <is>
          <t>EJEMPLO: dato inventado, reemplazar</t>
        </is>
      </c>
    </row>
    <row r="43">
      <c r="A43" s="10" t="inlineStr">
        <is>
          <t>EST-034</t>
        </is>
      </c>
      <c r="B43" s="10" t="n">
        <v>4</v>
      </c>
      <c r="C43" s="15" t="inlineStr">
        <is>
          <t>B</t>
        </is>
      </c>
      <c r="D43" s="16">
        <f>IF(B43=3,"control",IF(B43=4,"experimental",""))</f>
        <v/>
      </c>
      <c r="E43" s="10" t="inlineStr">
        <is>
          <t>pre</t>
        </is>
      </c>
      <c r="F43" s="15" t="n">
        <v>15</v>
      </c>
      <c r="G43" s="15" t="n">
        <v>12</v>
      </c>
      <c r="H43" s="15" t="n">
        <v>16</v>
      </c>
      <c r="I43" s="15" t="n">
        <v>16</v>
      </c>
      <c r="J43" s="15" t="n">
        <v>15</v>
      </c>
      <c r="K43" s="15" t="n">
        <v>19</v>
      </c>
      <c r="L43" s="15" t="n">
        <v>13</v>
      </c>
      <c r="M43" s="15" t="n">
        <v>14</v>
      </c>
      <c r="N43" s="15" t="n">
        <v>14</v>
      </c>
      <c r="O43" s="15" t="n">
        <v>16</v>
      </c>
      <c r="P43" s="16">
        <f>IF(COUNTIFS(F43:O43,"&gt;=0",F43:O43,"&lt;=20")=0,"",COUNTIFS(F43:O43,"&gt;=0",F43:O43,"&lt;=20"))</f>
        <v/>
      </c>
      <c r="Q43" s="16">
        <f>IF(P43="","",SUMIFS(F43:O43,F43:O43,"&gt;=0",F43:O43,"&lt;=20"))</f>
        <v/>
      </c>
      <c r="R43" s="16">
        <f>IF(P43="","",ROUND(Q43/P43,2))</f>
        <v/>
      </c>
      <c r="S43" s="10" t="n">
        <v>2026</v>
      </c>
      <c r="T43" s="15" t="n"/>
      <c r="U43" s="15" t="n"/>
      <c r="V43" s="15" t="n"/>
      <c r="W43" s="15" t="inlineStr">
        <is>
          <t>EJEMPLO: dato inventado, reemplazar</t>
        </is>
      </c>
    </row>
    <row r="44">
      <c r="A44" s="10" t="inlineStr">
        <is>
          <t>EST-035</t>
        </is>
      </c>
      <c r="B44" s="10" t="n">
        <v>4</v>
      </c>
      <c r="C44" s="15" t="inlineStr">
        <is>
          <t>B</t>
        </is>
      </c>
      <c r="D44" s="16">
        <f>IF(B44=3,"control",IF(B44=4,"experimental",""))</f>
        <v/>
      </c>
      <c r="E44" s="10" t="inlineStr">
        <is>
          <t>pre</t>
        </is>
      </c>
      <c r="F44" s="15" t="n">
        <v>11</v>
      </c>
      <c r="G44" s="15" t="n">
        <v>14</v>
      </c>
      <c r="H44" s="15" t="n">
        <v>15</v>
      </c>
      <c r="I44" s="15" t="n">
        <v>10</v>
      </c>
      <c r="J44" s="15" t="n">
        <v>15</v>
      </c>
      <c r="K44" s="15" t="n">
        <v>8</v>
      </c>
      <c r="L44" s="15" t="n">
        <v>11</v>
      </c>
      <c r="M44" s="15" t="n">
        <v>10</v>
      </c>
      <c r="N44" s="15" t="n">
        <v>12</v>
      </c>
      <c r="O44" s="15" t="n">
        <v>14</v>
      </c>
      <c r="P44" s="16">
        <f>IF(COUNTIFS(F44:O44,"&gt;=0",F44:O44,"&lt;=20")=0,"",COUNTIFS(F44:O44,"&gt;=0",F44:O44,"&lt;=20"))</f>
        <v/>
      </c>
      <c r="Q44" s="16">
        <f>IF(P44="","",SUMIFS(F44:O44,F44:O44,"&gt;=0",F44:O44,"&lt;=20"))</f>
        <v/>
      </c>
      <c r="R44" s="16">
        <f>IF(P44="","",ROUND(Q44/P44,2))</f>
        <v/>
      </c>
      <c r="S44" s="10" t="n">
        <v>2026</v>
      </c>
      <c r="T44" s="15" t="n"/>
      <c r="U44" s="15" t="n"/>
      <c r="V44" s="15" t="n"/>
      <c r="W44" s="15" t="inlineStr">
        <is>
          <t>EJEMPLO: dato inventado, reemplazar</t>
        </is>
      </c>
    </row>
    <row r="45">
      <c r="A45" s="10" t="inlineStr">
        <is>
          <t>EST-036</t>
        </is>
      </c>
      <c r="B45" s="10" t="n">
        <v>3</v>
      </c>
      <c r="C45" s="15" t="inlineStr">
        <is>
          <t>A</t>
        </is>
      </c>
      <c r="D45" s="16">
        <f>IF(B45=3,"control",IF(B45=4,"experimental",""))</f>
        <v/>
      </c>
      <c r="E45" s="10" t="inlineStr">
        <is>
          <t>pre</t>
        </is>
      </c>
      <c r="F45" s="15" t="n">
        <v>15</v>
      </c>
      <c r="G45" s="15" t="n">
        <v>15</v>
      </c>
      <c r="H45" s="15" t="n">
        <v>15</v>
      </c>
      <c r="I45" s="15" t="n">
        <v>18</v>
      </c>
      <c r="J45" s="15" t="n">
        <v>13</v>
      </c>
      <c r="K45" s="15" t="n">
        <v>18</v>
      </c>
      <c r="L45" s="15" t="n">
        <v>12</v>
      </c>
      <c r="M45" s="15" t="n">
        <v>17</v>
      </c>
      <c r="N45" s="15" t="n">
        <v>16</v>
      </c>
      <c r="O45" s="15" t="n">
        <v>16</v>
      </c>
      <c r="P45" s="16">
        <f>IF(COUNTIFS(F45:O45,"&gt;=0",F45:O45,"&lt;=20")=0,"",COUNTIFS(F45:O45,"&gt;=0",F45:O45,"&lt;=20"))</f>
        <v/>
      </c>
      <c r="Q45" s="16">
        <f>IF(P45="","",SUMIFS(F45:O45,F45:O45,"&gt;=0",F45:O45,"&lt;=20"))</f>
        <v/>
      </c>
      <c r="R45" s="16">
        <f>IF(P45="","",ROUND(Q45/P45,2))</f>
        <v/>
      </c>
      <c r="S45" s="10" t="n">
        <v>2026</v>
      </c>
      <c r="T45" s="15" t="n"/>
      <c r="U45" s="15" t="n"/>
      <c r="V45" s="15" t="n"/>
      <c r="W45" s="15" t="inlineStr">
        <is>
          <t>EJEMPLO: dato inventado, reemplazar</t>
        </is>
      </c>
    </row>
    <row r="46">
      <c r="A46" s="10" t="inlineStr">
        <is>
          <t>EST-037</t>
        </is>
      </c>
      <c r="B46" s="10" t="n">
        <v>3</v>
      </c>
      <c r="C46" s="15" t="inlineStr">
        <is>
          <t>A</t>
        </is>
      </c>
      <c r="D46" s="16">
        <f>IF(B46=3,"control",IF(B46=4,"experimental",""))</f>
        <v/>
      </c>
      <c r="E46" s="10" t="inlineStr">
        <is>
          <t>pre</t>
        </is>
      </c>
      <c r="F46" s="15" t="n">
        <v>16</v>
      </c>
      <c r="G46" s="15" t="n">
        <v>15</v>
      </c>
      <c r="H46" s="15" t="n">
        <v>13</v>
      </c>
      <c r="I46" s="15" t="n">
        <v>15</v>
      </c>
      <c r="J46" s="15" t="n">
        <v>14</v>
      </c>
      <c r="K46" s="15" t="n">
        <v>14</v>
      </c>
      <c r="L46" s="15" t="n">
        <v>14</v>
      </c>
      <c r="M46" s="15" t="n">
        <v>12</v>
      </c>
      <c r="N46" s="15" t="n">
        <v>15</v>
      </c>
      <c r="O46" s="15" t="n">
        <v>14</v>
      </c>
      <c r="P46" s="16">
        <f>IF(COUNTIFS(F46:O46,"&gt;=0",F46:O46,"&lt;=20")=0,"",COUNTIFS(F46:O46,"&gt;=0",F46:O46,"&lt;=20"))</f>
        <v/>
      </c>
      <c r="Q46" s="16">
        <f>IF(P46="","",SUMIFS(F46:O46,F46:O46,"&gt;=0",F46:O46,"&lt;=20"))</f>
        <v/>
      </c>
      <c r="R46" s="16">
        <f>IF(P46="","",ROUND(Q46/P46,2))</f>
        <v/>
      </c>
      <c r="S46" s="10" t="n">
        <v>2026</v>
      </c>
      <c r="T46" s="15" t="n"/>
      <c r="U46" s="15" t="n"/>
      <c r="V46" s="15" t="n"/>
      <c r="W46" s="15" t="inlineStr">
        <is>
          <t>EJEMPLO: dato inventado, reemplazar</t>
        </is>
      </c>
    </row>
    <row r="47">
      <c r="A47" s="10" t="inlineStr">
        <is>
          <t>EST-038</t>
        </is>
      </c>
      <c r="B47" s="10" t="n">
        <v>3</v>
      </c>
      <c r="C47" s="15" t="inlineStr">
        <is>
          <t>A</t>
        </is>
      </c>
      <c r="D47" s="16">
        <f>IF(B47=3,"control",IF(B47=4,"experimental",""))</f>
        <v/>
      </c>
      <c r="E47" s="10" t="inlineStr">
        <is>
          <t>pre</t>
        </is>
      </c>
      <c r="F47" s="15" t="n">
        <v>13</v>
      </c>
      <c r="G47" s="15" t="n">
        <v>14</v>
      </c>
      <c r="H47" s="15" t="n">
        <v>10</v>
      </c>
      <c r="I47" s="15" t="n">
        <v>11</v>
      </c>
      <c r="J47" s="15" t="n">
        <v>11</v>
      </c>
      <c r="K47" s="15" t="n">
        <v>10</v>
      </c>
      <c r="L47" s="15" t="n">
        <v>13</v>
      </c>
      <c r="M47" s="15" t="n">
        <v>13</v>
      </c>
      <c r="N47" s="15" t="n">
        <v>11</v>
      </c>
      <c r="O47" s="15" t="n">
        <v>13</v>
      </c>
      <c r="P47" s="16">
        <f>IF(COUNTIFS(F47:O47,"&gt;=0",F47:O47,"&lt;=20")=0,"",COUNTIFS(F47:O47,"&gt;=0",F47:O47,"&lt;=20"))</f>
        <v/>
      </c>
      <c r="Q47" s="16">
        <f>IF(P47="","",SUMIFS(F47:O47,F47:O47,"&gt;=0",F47:O47,"&lt;=20"))</f>
        <v/>
      </c>
      <c r="R47" s="16">
        <f>IF(P47="","",ROUND(Q47/P47,2))</f>
        <v/>
      </c>
      <c r="S47" s="10" t="n">
        <v>2026</v>
      </c>
      <c r="T47" s="15" t="n"/>
      <c r="U47" s="15" t="n"/>
      <c r="V47" s="15" t="n"/>
      <c r="W47" s="15" t="inlineStr">
        <is>
          <t>EJEMPLO: dato inventado, reemplazar</t>
        </is>
      </c>
    </row>
    <row r="48">
      <c r="A48" s="10" t="inlineStr">
        <is>
          <t>EST-039</t>
        </is>
      </c>
      <c r="B48" s="10" t="n">
        <v>3</v>
      </c>
      <c r="C48" s="15" t="inlineStr">
        <is>
          <t>A</t>
        </is>
      </c>
      <c r="D48" s="16">
        <f>IF(B48=3,"control",IF(B48=4,"experimental",""))</f>
        <v/>
      </c>
      <c r="E48" s="10" t="inlineStr">
        <is>
          <t>pre</t>
        </is>
      </c>
      <c r="F48" s="15" t="n">
        <v>10</v>
      </c>
      <c r="G48" s="15" t="n">
        <v>9</v>
      </c>
      <c r="H48" s="15" t="n">
        <v>9</v>
      </c>
      <c r="I48" s="15" t="n">
        <v>13</v>
      </c>
      <c r="J48" s="15" t="n">
        <v>10</v>
      </c>
      <c r="K48" s="15" t="n">
        <v>14</v>
      </c>
      <c r="L48" s="15" t="n">
        <v>11</v>
      </c>
      <c r="M48" s="15" t="n">
        <v>10</v>
      </c>
      <c r="N48" s="15" t="n">
        <v>10</v>
      </c>
      <c r="O48" s="15" t="n">
        <v>11</v>
      </c>
      <c r="P48" s="16">
        <f>IF(COUNTIFS(F48:O48,"&gt;=0",F48:O48,"&lt;=20")=0,"",COUNTIFS(F48:O48,"&gt;=0",F48:O48,"&lt;=20"))</f>
        <v/>
      </c>
      <c r="Q48" s="16">
        <f>IF(P48="","",SUMIFS(F48:O48,F48:O48,"&gt;=0",F48:O48,"&lt;=20"))</f>
        <v/>
      </c>
      <c r="R48" s="16">
        <f>IF(P48="","",ROUND(Q48/P48,2))</f>
        <v/>
      </c>
      <c r="S48" s="10" t="n">
        <v>2026</v>
      </c>
      <c r="T48" s="15" t="n"/>
      <c r="U48" s="15" t="n"/>
      <c r="V48" s="15" t="n"/>
      <c r="W48" s="15" t="inlineStr">
        <is>
          <t>EJEMPLO: dato inventado, reemplazar</t>
        </is>
      </c>
    </row>
    <row r="49">
      <c r="A49" s="10" t="inlineStr">
        <is>
          <t>EST-040</t>
        </is>
      </c>
      <c r="B49" s="10" t="n">
        <v>3</v>
      </c>
      <c r="C49" s="15" t="inlineStr">
        <is>
          <t>A</t>
        </is>
      </c>
      <c r="D49" s="16">
        <f>IF(B49=3,"control",IF(B49=4,"experimental",""))</f>
        <v/>
      </c>
      <c r="E49" s="10" t="inlineStr">
        <is>
          <t>pre</t>
        </is>
      </c>
      <c r="F49" s="15" t="n">
        <v>14</v>
      </c>
      <c r="G49" s="15" t="n">
        <v>18</v>
      </c>
      <c r="H49" s="15" t="n">
        <v>14</v>
      </c>
      <c r="I49" s="15" t="n">
        <v>16</v>
      </c>
      <c r="J49" s="15" t="n">
        <v>17</v>
      </c>
      <c r="K49" s="15" t="n">
        <v>15</v>
      </c>
      <c r="L49" s="15" t="n">
        <v>17</v>
      </c>
      <c r="M49" s="15" t="n">
        <v>16</v>
      </c>
      <c r="N49" s="15" t="n">
        <v>13</v>
      </c>
      <c r="O49" s="15" t="n">
        <v>12</v>
      </c>
      <c r="P49" s="16">
        <f>IF(COUNTIFS(F49:O49,"&gt;=0",F49:O49,"&lt;=20")=0,"",COUNTIFS(F49:O49,"&gt;=0",F49:O49,"&lt;=20"))</f>
        <v/>
      </c>
      <c r="Q49" s="16">
        <f>IF(P49="","",SUMIFS(F49:O49,F49:O49,"&gt;=0",F49:O49,"&lt;=20"))</f>
        <v/>
      </c>
      <c r="R49" s="16">
        <f>IF(P49="","",ROUND(Q49/P49,2))</f>
        <v/>
      </c>
      <c r="S49" s="10" t="n">
        <v>2026</v>
      </c>
      <c r="T49" s="15" t="n"/>
      <c r="U49" s="15" t="n"/>
      <c r="V49" s="15" t="n"/>
      <c r="W49" s="15" t="inlineStr">
        <is>
          <t>EJEMPLO: dato inventado, reemplazar</t>
        </is>
      </c>
    </row>
    <row r="50">
      <c r="A50" s="10" t="inlineStr">
        <is>
          <t>EST-041</t>
        </is>
      </c>
      <c r="B50" s="10" t="n">
        <v>3</v>
      </c>
      <c r="C50" s="15" t="inlineStr">
        <is>
          <t>A</t>
        </is>
      </c>
      <c r="D50" s="16">
        <f>IF(B50=3,"control",IF(B50=4,"experimental",""))</f>
        <v/>
      </c>
      <c r="E50" s="10" t="inlineStr">
        <is>
          <t>pre</t>
        </is>
      </c>
      <c r="F50" s="15" t="n">
        <v>13</v>
      </c>
      <c r="G50" s="15" t="n">
        <v>15</v>
      </c>
      <c r="H50" s="15" t="n">
        <v>15</v>
      </c>
      <c r="I50" s="15" t="n">
        <v>17</v>
      </c>
      <c r="J50" s="15" t="n">
        <v>15</v>
      </c>
      <c r="K50" s="15" t="n">
        <v>16</v>
      </c>
      <c r="L50" s="15" t="n">
        <v>19</v>
      </c>
      <c r="M50" s="15" t="n">
        <v>15</v>
      </c>
      <c r="N50" s="15" t="n">
        <v>16</v>
      </c>
      <c r="O50" s="15" t="n">
        <v>17</v>
      </c>
      <c r="P50" s="16">
        <f>IF(COUNTIFS(F50:O50,"&gt;=0",F50:O50,"&lt;=20")=0,"",COUNTIFS(F50:O50,"&gt;=0",F50:O50,"&lt;=20"))</f>
        <v/>
      </c>
      <c r="Q50" s="16">
        <f>IF(P50="","",SUMIFS(F50:O50,F50:O50,"&gt;=0",F50:O50,"&lt;=20"))</f>
        <v/>
      </c>
      <c r="R50" s="16">
        <f>IF(P50="","",ROUND(Q50/P50,2))</f>
        <v/>
      </c>
      <c r="S50" s="10" t="n">
        <v>2026</v>
      </c>
      <c r="T50" s="15" t="n"/>
      <c r="U50" s="15" t="n"/>
      <c r="V50" s="15" t="n"/>
      <c r="W50" s="15" t="inlineStr">
        <is>
          <t>EJEMPLO: dato inventado, reemplazar</t>
        </is>
      </c>
    </row>
    <row r="51">
      <c r="A51" s="10" t="inlineStr">
        <is>
          <t>EST-042</t>
        </is>
      </c>
      <c r="B51" s="10" t="n">
        <v>3</v>
      </c>
      <c r="C51" s="15" t="inlineStr">
        <is>
          <t>A</t>
        </is>
      </c>
      <c r="D51" s="16">
        <f>IF(B51=3,"control",IF(B51=4,"experimental",""))</f>
        <v/>
      </c>
      <c r="E51" s="10" t="inlineStr">
        <is>
          <t>pre</t>
        </is>
      </c>
      <c r="F51" s="15" t="n">
        <v>16</v>
      </c>
      <c r="G51" s="15" t="n">
        <v>15</v>
      </c>
      <c r="H51" s="15" t="n">
        <v>14</v>
      </c>
      <c r="I51" s="15" t="n">
        <v>16</v>
      </c>
      <c r="J51" s="15" t="n">
        <v>14</v>
      </c>
      <c r="K51" s="15" t="n">
        <v>16</v>
      </c>
      <c r="L51" s="15" t="n">
        <v>12</v>
      </c>
      <c r="M51" s="15" t="n">
        <v>13</v>
      </c>
      <c r="N51" s="15" t="n">
        <v>14</v>
      </c>
      <c r="O51" s="15" t="n">
        <v>12</v>
      </c>
      <c r="P51" s="16">
        <f>IF(COUNTIFS(F51:O51,"&gt;=0",F51:O51,"&lt;=20")=0,"",COUNTIFS(F51:O51,"&gt;=0",F51:O51,"&lt;=20"))</f>
        <v/>
      </c>
      <c r="Q51" s="16">
        <f>IF(P51="","",SUMIFS(F51:O51,F51:O51,"&gt;=0",F51:O51,"&lt;=20"))</f>
        <v/>
      </c>
      <c r="R51" s="16">
        <f>IF(P51="","",ROUND(Q51/P51,2))</f>
        <v/>
      </c>
      <c r="S51" s="10" t="n">
        <v>2026</v>
      </c>
      <c r="T51" s="15" t="n"/>
      <c r="U51" s="15" t="n"/>
      <c r="V51" s="15" t="n"/>
      <c r="W51" s="15" t="inlineStr">
        <is>
          <t>EJEMPLO: dato inventado, reemplazar</t>
        </is>
      </c>
    </row>
    <row r="52">
      <c r="A52" s="10" t="inlineStr">
        <is>
          <t>EST-043</t>
        </is>
      </c>
      <c r="B52" s="10" t="n">
        <v>3</v>
      </c>
      <c r="C52" s="15" t="inlineStr">
        <is>
          <t>A</t>
        </is>
      </c>
      <c r="D52" s="16">
        <f>IF(B52=3,"control",IF(B52=4,"experimental",""))</f>
        <v/>
      </c>
      <c r="E52" s="10" t="inlineStr">
        <is>
          <t>pre</t>
        </is>
      </c>
      <c r="F52" s="15" t="n">
        <v>8</v>
      </c>
      <c r="G52" s="15" t="n">
        <v>16</v>
      </c>
      <c r="H52" s="15" t="n">
        <v>9</v>
      </c>
      <c r="I52" s="15" t="n">
        <v>13</v>
      </c>
      <c r="J52" s="15" t="n">
        <v>10</v>
      </c>
      <c r="K52" s="15" t="n">
        <v>11</v>
      </c>
      <c r="L52" s="15" t="n">
        <v>6</v>
      </c>
      <c r="M52" s="15" t="n">
        <v>9</v>
      </c>
      <c r="N52" s="15" t="n">
        <v>11</v>
      </c>
      <c r="O52" s="15" t="n">
        <v>10</v>
      </c>
      <c r="P52" s="16">
        <f>IF(COUNTIFS(F52:O52,"&gt;=0",F52:O52,"&lt;=20")=0,"",COUNTIFS(F52:O52,"&gt;=0",F52:O52,"&lt;=20"))</f>
        <v/>
      </c>
      <c r="Q52" s="16">
        <f>IF(P52="","",SUMIFS(F52:O52,F52:O52,"&gt;=0",F52:O52,"&lt;=20"))</f>
        <v/>
      </c>
      <c r="R52" s="16">
        <f>IF(P52="","",ROUND(Q52/P52,2))</f>
        <v/>
      </c>
      <c r="S52" s="10" t="n">
        <v>2026</v>
      </c>
      <c r="T52" s="15" t="n"/>
      <c r="U52" s="15" t="n"/>
      <c r="V52" s="15" t="n"/>
      <c r="W52" s="15" t="inlineStr">
        <is>
          <t>EJEMPLO: dato inventado, reemplazar</t>
        </is>
      </c>
    </row>
    <row r="53">
      <c r="A53" s="10" t="inlineStr">
        <is>
          <t>EST-044</t>
        </is>
      </c>
      <c r="B53" s="10" t="n">
        <v>3</v>
      </c>
      <c r="C53" s="15" t="inlineStr">
        <is>
          <t>A</t>
        </is>
      </c>
      <c r="D53" s="16">
        <f>IF(B53=3,"control",IF(B53=4,"experimental",""))</f>
        <v/>
      </c>
      <c r="E53" s="10" t="inlineStr">
        <is>
          <t>pre</t>
        </is>
      </c>
      <c r="F53" s="15" t="n">
        <v>15</v>
      </c>
      <c r="G53" s="15" t="n">
        <v>13</v>
      </c>
      <c r="H53" s="15" t="n">
        <v>13</v>
      </c>
      <c r="I53" s="15" t="n">
        <v>12</v>
      </c>
      <c r="J53" s="15" t="n">
        <v>12</v>
      </c>
      <c r="K53" s="15" t="n">
        <v>14</v>
      </c>
      <c r="L53" s="15" t="n">
        <v>11</v>
      </c>
      <c r="M53" s="15" t="n">
        <v>14</v>
      </c>
      <c r="N53" s="15" t="n">
        <v>12</v>
      </c>
      <c r="O53" s="15" t="n">
        <v>13</v>
      </c>
      <c r="P53" s="16">
        <f>IF(COUNTIFS(F53:O53,"&gt;=0",F53:O53,"&lt;=20")=0,"",COUNTIFS(F53:O53,"&gt;=0",F53:O53,"&lt;=20"))</f>
        <v/>
      </c>
      <c r="Q53" s="16">
        <f>IF(P53="","",SUMIFS(F53:O53,F53:O53,"&gt;=0",F53:O53,"&lt;=20"))</f>
        <v/>
      </c>
      <c r="R53" s="16">
        <f>IF(P53="","",ROUND(Q53/P53,2))</f>
        <v/>
      </c>
      <c r="S53" s="10" t="n">
        <v>2026</v>
      </c>
      <c r="T53" s="15" t="n"/>
      <c r="U53" s="15" t="n"/>
      <c r="V53" s="15" t="n"/>
      <c r="W53" s="15" t="inlineStr">
        <is>
          <t>EJEMPLO: dato inventado, reemplazar</t>
        </is>
      </c>
    </row>
    <row r="54">
      <c r="A54" s="10" t="inlineStr">
        <is>
          <t>EST-045</t>
        </is>
      </c>
      <c r="B54" s="10" t="n">
        <v>3</v>
      </c>
      <c r="C54" s="15" t="inlineStr">
        <is>
          <t>A</t>
        </is>
      </c>
      <c r="D54" s="16">
        <f>IF(B54=3,"control",IF(B54=4,"experimental",""))</f>
        <v/>
      </c>
      <c r="E54" s="10" t="inlineStr">
        <is>
          <t>pre</t>
        </is>
      </c>
      <c r="F54" s="15" t="n">
        <v>13</v>
      </c>
      <c r="G54" s="15" t="n">
        <v>13</v>
      </c>
      <c r="H54" s="15" t="n">
        <v>13</v>
      </c>
      <c r="I54" s="15" t="n">
        <v>15</v>
      </c>
      <c r="J54" s="15" t="n">
        <v>11</v>
      </c>
      <c r="K54" s="15" t="n">
        <v>13</v>
      </c>
      <c r="L54" s="15" t="n">
        <v>13</v>
      </c>
      <c r="M54" s="15" t="n">
        <v>12</v>
      </c>
      <c r="N54" s="15" t="n">
        <v>12</v>
      </c>
      <c r="O54" s="15" t="n">
        <v>16</v>
      </c>
      <c r="P54" s="16">
        <f>IF(COUNTIFS(F54:O54,"&gt;=0",F54:O54,"&lt;=20")=0,"",COUNTIFS(F54:O54,"&gt;=0",F54:O54,"&lt;=20"))</f>
        <v/>
      </c>
      <c r="Q54" s="16">
        <f>IF(P54="","",SUMIFS(F54:O54,F54:O54,"&gt;=0",F54:O54,"&lt;=20"))</f>
        <v/>
      </c>
      <c r="R54" s="16">
        <f>IF(P54="","",ROUND(Q54/P54,2))</f>
        <v/>
      </c>
      <c r="S54" s="10" t="n">
        <v>2026</v>
      </c>
      <c r="T54" s="15" t="n"/>
      <c r="U54" s="15" t="n"/>
      <c r="V54" s="15" t="n"/>
      <c r="W54" s="15" t="inlineStr">
        <is>
          <t>EJEMPLO: dato inventado, reemplazar</t>
        </is>
      </c>
    </row>
    <row r="55">
      <c r="A55" s="10" t="inlineStr">
        <is>
          <t>EST-046</t>
        </is>
      </c>
      <c r="B55" s="10" t="n">
        <v>3</v>
      </c>
      <c r="C55" s="15" t="inlineStr">
        <is>
          <t>A</t>
        </is>
      </c>
      <c r="D55" s="16">
        <f>IF(B55=3,"control",IF(B55=4,"experimental",""))</f>
        <v/>
      </c>
      <c r="E55" s="10" t="inlineStr">
        <is>
          <t>pre</t>
        </is>
      </c>
      <c r="F55" s="15" t="n">
        <v>12</v>
      </c>
      <c r="G55" s="15" t="n">
        <v>9</v>
      </c>
      <c r="H55" s="15" t="n">
        <v>12</v>
      </c>
      <c r="I55" s="15" t="n">
        <v>16</v>
      </c>
      <c r="J55" s="15" t="n">
        <v>13</v>
      </c>
      <c r="K55" s="15" t="n">
        <v>13</v>
      </c>
      <c r="L55" s="15" t="n">
        <v>13</v>
      </c>
      <c r="M55" s="15" t="n">
        <v>11</v>
      </c>
      <c r="N55" s="15" t="n">
        <v>9</v>
      </c>
      <c r="O55" s="15" t="n">
        <v>14</v>
      </c>
      <c r="P55" s="16">
        <f>IF(COUNTIFS(F55:O55,"&gt;=0",F55:O55,"&lt;=20")=0,"",COUNTIFS(F55:O55,"&gt;=0",F55:O55,"&lt;=20"))</f>
        <v/>
      </c>
      <c r="Q55" s="16">
        <f>IF(P55="","",SUMIFS(F55:O55,F55:O55,"&gt;=0",F55:O55,"&lt;=20"))</f>
        <v/>
      </c>
      <c r="R55" s="16">
        <f>IF(P55="","",ROUND(Q55/P55,2))</f>
        <v/>
      </c>
      <c r="S55" s="10" t="n">
        <v>2026</v>
      </c>
      <c r="T55" s="15" t="n"/>
      <c r="U55" s="15" t="n"/>
      <c r="V55" s="15" t="n"/>
      <c r="W55" s="15" t="inlineStr">
        <is>
          <t>EJEMPLO: dato inventado, reemplazar</t>
        </is>
      </c>
    </row>
    <row r="56">
      <c r="A56" s="10" t="inlineStr">
        <is>
          <t>EST-047</t>
        </is>
      </c>
      <c r="B56" s="10" t="n">
        <v>3</v>
      </c>
      <c r="C56" s="15" t="inlineStr">
        <is>
          <t>A</t>
        </is>
      </c>
      <c r="D56" s="16">
        <f>IF(B56=3,"control",IF(B56=4,"experimental",""))</f>
        <v/>
      </c>
      <c r="E56" s="10" t="inlineStr">
        <is>
          <t>pre</t>
        </is>
      </c>
      <c r="F56" s="15" t="n">
        <v>18</v>
      </c>
      <c r="G56" s="15" t="n">
        <v>19</v>
      </c>
      <c r="H56" s="15" t="n">
        <v>13</v>
      </c>
      <c r="I56" s="15" t="n">
        <v>16</v>
      </c>
      <c r="J56" s="15" t="n">
        <v>16</v>
      </c>
      <c r="K56" s="15" t="n">
        <v>13</v>
      </c>
      <c r="L56" s="15" t="n">
        <v>17</v>
      </c>
      <c r="M56" s="15" t="n">
        <v>14</v>
      </c>
      <c r="N56" s="15" t="n">
        <v>11</v>
      </c>
      <c r="O56" s="15" t="n">
        <v>16</v>
      </c>
      <c r="P56" s="16">
        <f>IF(COUNTIFS(F56:O56,"&gt;=0",F56:O56,"&lt;=20")=0,"",COUNTIFS(F56:O56,"&gt;=0",F56:O56,"&lt;=20"))</f>
        <v/>
      </c>
      <c r="Q56" s="16">
        <f>IF(P56="","",SUMIFS(F56:O56,F56:O56,"&gt;=0",F56:O56,"&lt;=20"))</f>
        <v/>
      </c>
      <c r="R56" s="16">
        <f>IF(P56="","",ROUND(Q56/P56,2))</f>
        <v/>
      </c>
      <c r="S56" s="10" t="n">
        <v>2026</v>
      </c>
      <c r="T56" s="15" t="n"/>
      <c r="U56" s="15" t="n"/>
      <c r="V56" s="15" t="n"/>
      <c r="W56" s="15" t="inlineStr">
        <is>
          <t>EJEMPLO: dato inventado, reemplazar</t>
        </is>
      </c>
    </row>
    <row r="57">
      <c r="A57" s="10" t="inlineStr">
        <is>
          <t>EST-048</t>
        </is>
      </c>
      <c r="B57" s="10" t="n">
        <v>3</v>
      </c>
      <c r="C57" s="15" t="inlineStr">
        <is>
          <t>A</t>
        </is>
      </c>
      <c r="D57" s="16">
        <f>IF(B57=3,"control",IF(B57=4,"experimental",""))</f>
        <v/>
      </c>
      <c r="E57" s="10" t="inlineStr">
        <is>
          <t>pre</t>
        </is>
      </c>
      <c r="F57" s="15" t="n">
        <v>12</v>
      </c>
      <c r="G57" s="15" t="n">
        <v>12</v>
      </c>
      <c r="H57" s="15" t="n">
        <v>11</v>
      </c>
      <c r="I57" s="15" t="n">
        <v>9</v>
      </c>
      <c r="J57" s="15" t="n">
        <v>12</v>
      </c>
      <c r="K57" s="15" t="n">
        <v>12</v>
      </c>
      <c r="L57" s="15" t="n">
        <v>11</v>
      </c>
      <c r="M57" s="15" t="n">
        <v>11</v>
      </c>
      <c r="N57" s="15" t="n">
        <v>16</v>
      </c>
      <c r="O57" s="15" t="n">
        <v>10</v>
      </c>
      <c r="P57" s="16">
        <f>IF(COUNTIFS(F57:O57,"&gt;=0",F57:O57,"&lt;=20")=0,"",COUNTIFS(F57:O57,"&gt;=0",F57:O57,"&lt;=20"))</f>
        <v/>
      </c>
      <c r="Q57" s="16">
        <f>IF(P57="","",SUMIFS(F57:O57,F57:O57,"&gt;=0",F57:O57,"&lt;=20"))</f>
        <v/>
      </c>
      <c r="R57" s="16">
        <f>IF(P57="","",ROUND(Q57/P57,2))</f>
        <v/>
      </c>
      <c r="S57" s="10" t="n">
        <v>2026</v>
      </c>
      <c r="T57" s="15" t="n"/>
      <c r="U57" s="15" t="n"/>
      <c r="V57" s="15" t="n"/>
      <c r="W57" s="15" t="inlineStr">
        <is>
          <t>EJEMPLO: dato inventado, reemplazar</t>
        </is>
      </c>
    </row>
    <row r="58">
      <c r="A58" s="10" t="inlineStr">
        <is>
          <t>EST-049</t>
        </is>
      </c>
      <c r="B58" s="10" t="n">
        <v>3</v>
      </c>
      <c r="C58" s="15" t="inlineStr">
        <is>
          <t>A</t>
        </is>
      </c>
      <c r="D58" s="16">
        <f>IF(B58=3,"control",IF(B58=4,"experimental",""))</f>
        <v/>
      </c>
      <c r="E58" s="10" t="inlineStr">
        <is>
          <t>pre</t>
        </is>
      </c>
      <c r="F58" s="15" t="n">
        <v>11</v>
      </c>
      <c r="G58" s="15" t="n">
        <v>9</v>
      </c>
      <c r="H58" s="15" t="n">
        <v>10</v>
      </c>
      <c r="I58" s="15" t="n">
        <v>11</v>
      </c>
      <c r="J58" s="15" t="n">
        <v>7</v>
      </c>
      <c r="K58" s="15" t="n">
        <v>10</v>
      </c>
      <c r="L58" s="15" t="n">
        <v>12</v>
      </c>
      <c r="M58" s="15" t="n">
        <v>9</v>
      </c>
      <c r="N58" s="15" t="n">
        <v>13</v>
      </c>
      <c r="O58" s="15" t="n">
        <v>13</v>
      </c>
      <c r="P58" s="16">
        <f>IF(COUNTIFS(F58:O58,"&gt;=0",F58:O58,"&lt;=20")=0,"",COUNTIFS(F58:O58,"&gt;=0",F58:O58,"&lt;=20"))</f>
        <v/>
      </c>
      <c r="Q58" s="16">
        <f>IF(P58="","",SUMIFS(F58:O58,F58:O58,"&gt;=0",F58:O58,"&lt;=20"))</f>
        <v/>
      </c>
      <c r="R58" s="16">
        <f>IF(P58="","",ROUND(Q58/P58,2))</f>
        <v/>
      </c>
      <c r="S58" s="10" t="n">
        <v>2026</v>
      </c>
      <c r="T58" s="15" t="n"/>
      <c r="U58" s="15" t="n"/>
      <c r="V58" s="15" t="n"/>
      <c r="W58" s="15" t="inlineStr">
        <is>
          <t>EJEMPLO: dato inventado, reemplazar</t>
        </is>
      </c>
    </row>
    <row r="59">
      <c r="A59" s="10" t="inlineStr">
        <is>
          <t>EST-050</t>
        </is>
      </c>
      <c r="B59" s="10" t="n">
        <v>3</v>
      </c>
      <c r="C59" s="15" t="inlineStr">
        <is>
          <t>A</t>
        </is>
      </c>
      <c r="D59" s="16">
        <f>IF(B59=3,"control",IF(B59=4,"experimental",""))</f>
        <v/>
      </c>
      <c r="E59" s="10" t="inlineStr">
        <is>
          <t>pre</t>
        </is>
      </c>
      <c r="F59" s="15" t="n">
        <v>9</v>
      </c>
      <c r="G59" s="15" t="n">
        <v>10</v>
      </c>
      <c r="H59" s="15" t="n">
        <v>12</v>
      </c>
      <c r="I59" s="15" t="n">
        <v>11</v>
      </c>
      <c r="J59" s="15" t="n">
        <v>12</v>
      </c>
      <c r="K59" s="15" t="n">
        <v>15</v>
      </c>
      <c r="L59" s="15" t="n">
        <v>11</v>
      </c>
      <c r="M59" s="15" t="n">
        <v>13</v>
      </c>
      <c r="N59" s="15" t="n">
        <v>13</v>
      </c>
      <c r="O59" s="15" t="n">
        <v>10</v>
      </c>
      <c r="P59" s="16">
        <f>IF(COUNTIFS(F59:O59,"&gt;=0",F59:O59,"&lt;=20")=0,"",COUNTIFS(F59:O59,"&gt;=0",F59:O59,"&lt;=20"))</f>
        <v/>
      </c>
      <c r="Q59" s="16">
        <f>IF(P59="","",SUMIFS(F59:O59,F59:O59,"&gt;=0",F59:O59,"&lt;=20"))</f>
        <v/>
      </c>
      <c r="R59" s="16">
        <f>IF(P59="","",ROUND(Q59/P59,2))</f>
        <v/>
      </c>
      <c r="S59" s="10" t="n">
        <v>2026</v>
      </c>
      <c r="T59" s="15" t="n"/>
      <c r="U59" s="15" t="n"/>
      <c r="V59" s="15" t="n"/>
      <c r="W59" s="15" t="inlineStr">
        <is>
          <t>EJEMPLO: dato inventado, reemplazar</t>
        </is>
      </c>
    </row>
    <row r="60">
      <c r="A60" s="10" t="inlineStr">
        <is>
          <t>EST-051</t>
        </is>
      </c>
      <c r="B60" s="10" t="n">
        <v>3</v>
      </c>
      <c r="C60" s="15" t="inlineStr">
        <is>
          <t>A</t>
        </is>
      </c>
      <c r="D60" s="16">
        <f>IF(B60=3,"control",IF(B60=4,"experimental",""))</f>
        <v/>
      </c>
      <c r="E60" s="10" t="inlineStr">
        <is>
          <t>pre</t>
        </is>
      </c>
      <c r="F60" s="15" t="n">
        <v>15</v>
      </c>
      <c r="G60" s="15" t="n">
        <v>15</v>
      </c>
      <c r="H60" s="15" t="n">
        <v>18</v>
      </c>
      <c r="I60" s="15" t="n">
        <v>15</v>
      </c>
      <c r="J60" s="15" t="n">
        <v>14</v>
      </c>
      <c r="K60" s="15" t="n">
        <v>17</v>
      </c>
      <c r="L60" s="15" t="n">
        <v>14</v>
      </c>
      <c r="M60" s="15" t="n"/>
      <c r="N60" s="15" t="n">
        <v>15</v>
      </c>
      <c r="O60" s="15" t="n">
        <v>16</v>
      </c>
      <c r="P60" s="16">
        <f>IF(COUNTIFS(F60:O60,"&gt;=0",F60:O60,"&lt;=20")=0,"",COUNTIFS(F60:O60,"&gt;=0",F60:O60,"&lt;=20"))</f>
        <v/>
      </c>
      <c r="Q60" s="16">
        <f>IF(P60="","",SUMIFS(F60:O60,F60:O60,"&gt;=0",F60:O60,"&lt;=20"))</f>
        <v/>
      </c>
      <c r="R60" s="16">
        <f>IF(P60="","",ROUND(Q60/P60,2))</f>
        <v/>
      </c>
      <c r="S60" s="10" t="n">
        <v>2026</v>
      </c>
      <c r="T60" s="15" t="n"/>
      <c r="U60" s="15" t="n"/>
      <c r="V60" s="15" t="n"/>
      <c r="W60" s="15" t="inlineStr">
        <is>
          <t>EJEMPLO: dato inventado, reemplazar</t>
        </is>
      </c>
    </row>
    <row r="61">
      <c r="A61" s="10" t="inlineStr">
        <is>
          <t>EST-052</t>
        </is>
      </c>
      <c r="B61" s="10" t="n">
        <v>3</v>
      </c>
      <c r="C61" s="15" t="inlineStr">
        <is>
          <t>A</t>
        </is>
      </c>
      <c r="D61" s="16">
        <f>IF(B61=3,"control",IF(B61=4,"experimental",""))</f>
        <v/>
      </c>
      <c r="E61" s="10" t="inlineStr">
        <is>
          <t>pre</t>
        </is>
      </c>
      <c r="F61" s="15" t="n">
        <v>14</v>
      </c>
      <c r="G61" s="15" t="n">
        <v>15</v>
      </c>
      <c r="H61" s="15" t="n">
        <v>18</v>
      </c>
      <c r="I61" s="15" t="n">
        <v>15</v>
      </c>
      <c r="J61" s="15" t="n">
        <v>18</v>
      </c>
      <c r="K61" s="15" t="n">
        <v>17</v>
      </c>
      <c r="L61" s="15" t="n">
        <v>19</v>
      </c>
      <c r="M61" s="15" t="n">
        <v>19</v>
      </c>
      <c r="N61" s="15" t="n">
        <v>18</v>
      </c>
      <c r="O61" s="15" t="n">
        <v>14</v>
      </c>
      <c r="P61" s="16">
        <f>IF(COUNTIFS(F61:O61,"&gt;=0",F61:O61,"&lt;=20")=0,"",COUNTIFS(F61:O61,"&gt;=0",F61:O61,"&lt;=20"))</f>
        <v/>
      </c>
      <c r="Q61" s="16">
        <f>IF(P61="","",SUMIFS(F61:O61,F61:O61,"&gt;=0",F61:O61,"&lt;=20"))</f>
        <v/>
      </c>
      <c r="R61" s="16">
        <f>IF(P61="","",ROUND(Q61/P61,2))</f>
        <v/>
      </c>
      <c r="S61" s="10" t="n">
        <v>2026</v>
      </c>
      <c r="T61" s="15" t="n"/>
      <c r="U61" s="15" t="n"/>
      <c r="V61" s="15" t="n"/>
      <c r="W61" s="15" t="inlineStr">
        <is>
          <t>EJEMPLO: dato inventado, reemplazar</t>
        </is>
      </c>
    </row>
    <row r="62">
      <c r="A62" s="10" t="inlineStr">
        <is>
          <t>EST-053</t>
        </is>
      </c>
      <c r="B62" s="10" t="n">
        <v>3</v>
      </c>
      <c r="C62" s="15" t="inlineStr">
        <is>
          <t>A</t>
        </is>
      </c>
      <c r="D62" s="16">
        <f>IF(B62=3,"control",IF(B62=4,"experimental",""))</f>
        <v/>
      </c>
      <c r="E62" s="10" t="inlineStr">
        <is>
          <t>pre</t>
        </is>
      </c>
      <c r="F62" s="15" t="n">
        <v>10</v>
      </c>
      <c r="G62" s="15" t="n">
        <v>9</v>
      </c>
      <c r="H62" s="15" t="n">
        <v>7</v>
      </c>
      <c r="I62" s="15" t="n">
        <v>10</v>
      </c>
      <c r="J62" s="15" t="n">
        <v>9</v>
      </c>
      <c r="K62" s="15" t="n">
        <v>12</v>
      </c>
      <c r="L62" s="15" t="n">
        <v>9</v>
      </c>
      <c r="M62" s="15" t="n">
        <v>10</v>
      </c>
      <c r="N62" s="15" t="n">
        <v>11</v>
      </c>
      <c r="O62" s="15" t="n">
        <v>8</v>
      </c>
      <c r="P62" s="16">
        <f>IF(COUNTIFS(F62:O62,"&gt;=0",F62:O62,"&lt;=20")=0,"",COUNTIFS(F62:O62,"&gt;=0",F62:O62,"&lt;=20"))</f>
        <v/>
      </c>
      <c r="Q62" s="16">
        <f>IF(P62="","",SUMIFS(F62:O62,F62:O62,"&gt;=0",F62:O62,"&lt;=20"))</f>
        <v/>
      </c>
      <c r="R62" s="16">
        <f>IF(P62="","",ROUND(Q62/P62,2))</f>
        <v/>
      </c>
      <c r="S62" s="10" t="n">
        <v>2026</v>
      </c>
      <c r="T62" s="15" t="n"/>
      <c r="U62" s="15" t="n"/>
      <c r="V62" s="15" t="n"/>
      <c r="W62" s="15" t="inlineStr">
        <is>
          <t>EJEMPLO: dato inventado, reemplazar</t>
        </is>
      </c>
    </row>
    <row r="63">
      <c r="A63" s="10" t="inlineStr">
        <is>
          <t>EST-054</t>
        </is>
      </c>
      <c r="B63" s="10" t="n">
        <v>3</v>
      </c>
      <c r="C63" s="15" t="inlineStr">
        <is>
          <t>A</t>
        </is>
      </c>
      <c r="D63" s="16">
        <f>IF(B63=3,"control",IF(B63=4,"experimental",""))</f>
        <v/>
      </c>
      <c r="E63" s="10" t="inlineStr">
        <is>
          <t>pre</t>
        </is>
      </c>
      <c r="F63" s="15" t="n">
        <v>10</v>
      </c>
      <c r="G63" s="15" t="n">
        <v>11</v>
      </c>
      <c r="H63" s="15" t="n">
        <v>9</v>
      </c>
      <c r="I63" s="15" t="n">
        <v>11</v>
      </c>
      <c r="J63" s="15" t="n">
        <v>10</v>
      </c>
      <c r="K63" s="15" t="n">
        <v>13</v>
      </c>
      <c r="L63" s="15" t="n">
        <v>10</v>
      </c>
      <c r="M63" s="15" t="n">
        <v>12</v>
      </c>
      <c r="N63" s="15" t="n">
        <v>10</v>
      </c>
      <c r="O63" s="15" t="n">
        <v>10</v>
      </c>
      <c r="P63" s="16">
        <f>IF(COUNTIFS(F63:O63,"&gt;=0",F63:O63,"&lt;=20")=0,"",COUNTIFS(F63:O63,"&gt;=0",F63:O63,"&lt;=20"))</f>
        <v/>
      </c>
      <c r="Q63" s="16">
        <f>IF(P63="","",SUMIFS(F63:O63,F63:O63,"&gt;=0",F63:O63,"&lt;=20"))</f>
        <v/>
      </c>
      <c r="R63" s="16">
        <f>IF(P63="","",ROUND(Q63/P63,2))</f>
        <v/>
      </c>
      <c r="S63" s="10" t="n">
        <v>2026</v>
      </c>
      <c r="T63" s="15" t="n"/>
      <c r="U63" s="15" t="n"/>
      <c r="V63" s="15" t="n"/>
      <c r="W63" s="15" t="inlineStr">
        <is>
          <t>EJEMPLO: dato inventado, reemplazar</t>
        </is>
      </c>
    </row>
    <row r="64">
      <c r="A64" s="10" t="inlineStr">
        <is>
          <t>EST-055</t>
        </is>
      </c>
      <c r="B64" s="10" t="n">
        <v>3</v>
      </c>
      <c r="C64" s="15" t="inlineStr">
        <is>
          <t>A</t>
        </is>
      </c>
      <c r="D64" s="16">
        <f>IF(B64=3,"control",IF(B64=4,"experimental",""))</f>
        <v/>
      </c>
      <c r="E64" s="10" t="inlineStr">
        <is>
          <t>pre</t>
        </is>
      </c>
      <c r="F64" s="15" t="n">
        <v>14</v>
      </c>
      <c r="G64" s="15" t="n">
        <v>16</v>
      </c>
      <c r="H64" s="15" t="n">
        <v>16</v>
      </c>
      <c r="I64" s="15" t="n">
        <v>16</v>
      </c>
      <c r="J64" s="15" t="n">
        <v>15</v>
      </c>
      <c r="K64" s="15" t="n">
        <v>16</v>
      </c>
      <c r="L64" s="15" t="n">
        <v>20</v>
      </c>
      <c r="M64" s="15" t="n">
        <v>19</v>
      </c>
      <c r="N64" s="15" t="n">
        <v>15</v>
      </c>
      <c r="O64" s="15" t="n">
        <v>15</v>
      </c>
      <c r="P64" s="16">
        <f>IF(COUNTIFS(F64:O64,"&gt;=0",F64:O64,"&lt;=20")=0,"",COUNTIFS(F64:O64,"&gt;=0",F64:O64,"&lt;=20"))</f>
        <v/>
      </c>
      <c r="Q64" s="16">
        <f>IF(P64="","",SUMIFS(F64:O64,F64:O64,"&gt;=0",F64:O64,"&lt;=20"))</f>
        <v/>
      </c>
      <c r="R64" s="16">
        <f>IF(P64="","",ROUND(Q64/P64,2))</f>
        <v/>
      </c>
      <c r="S64" s="10" t="n">
        <v>2026</v>
      </c>
      <c r="T64" s="15" t="n"/>
      <c r="U64" s="15" t="n"/>
      <c r="V64" s="15" t="n"/>
      <c r="W64" s="15" t="inlineStr">
        <is>
          <t>EJEMPLO: dato inventado, reemplazar</t>
        </is>
      </c>
    </row>
    <row r="65">
      <c r="A65" s="10" t="inlineStr">
        <is>
          <t>EST-056</t>
        </is>
      </c>
      <c r="B65" s="10" t="n">
        <v>3</v>
      </c>
      <c r="C65" s="15" t="inlineStr">
        <is>
          <t>A</t>
        </is>
      </c>
      <c r="D65" s="16">
        <f>IF(B65=3,"control",IF(B65=4,"experimental",""))</f>
        <v/>
      </c>
      <c r="E65" s="10" t="inlineStr">
        <is>
          <t>pre</t>
        </is>
      </c>
      <c r="F65" s="15" t="n">
        <v>13</v>
      </c>
      <c r="G65" s="15" t="n">
        <v>12</v>
      </c>
      <c r="H65" s="15" t="n">
        <v>15</v>
      </c>
      <c r="I65" s="15" t="n">
        <v>16</v>
      </c>
      <c r="J65" s="15" t="n">
        <v>14</v>
      </c>
      <c r="K65" s="15" t="n">
        <v>16</v>
      </c>
      <c r="L65" s="15" t="n">
        <v>14</v>
      </c>
      <c r="M65" s="15" t="n">
        <v>11</v>
      </c>
      <c r="N65" s="15" t="n">
        <v>15</v>
      </c>
      <c r="O65" s="15" t="n">
        <v>12</v>
      </c>
      <c r="P65" s="16">
        <f>IF(COUNTIFS(F65:O65,"&gt;=0",F65:O65,"&lt;=20")=0,"",COUNTIFS(F65:O65,"&gt;=0",F65:O65,"&lt;=20"))</f>
        <v/>
      </c>
      <c r="Q65" s="16">
        <f>IF(P65="","",SUMIFS(F65:O65,F65:O65,"&gt;=0",F65:O65,"&lt;=20"))</f>
        <v/>
      </c>
      <c r="R65" s="16">
        <f>IF(P65="","",ROUND(Q65/P65,2))</f>
        <v/>
      </c>
      <c r="S65" s="10" t="n">
        <v>2026</v>
      </c>
      <c r="T65" s="15" t="n"/>
      <c r="U65" s="15" t="n"/>
      <c r="V65" s="15" t="n"/>
      <c r="W65" s="15" t="inlineStr">
        <is>
          <t>EJEMPLO: dato inventado, reemplazar</t>
        </is>
      </c>
    </row>
    <row r="66">
      <c r="A66" s="10" t="inlineStr">
        <is>
          <t>EST-057</t>
        </is>
      </c>
      <c r="B66" s="10" t="n">
        <v>3</v>
      </c>
      <c r="C66" s="15" t="inlineStr">
        <is>
          <t>A</t>
        </is>
      </c>
      <c r="D66" s="16">
        <f>IF(B66=3,"control",IF(B66=4,"experimental",""))</f>
        <v/>
      </c>
      <c r="E66" s="10" t="inlineStr">
        <is>
          <t>pre</t>
        </is>
      </c>
      <c r="F66" s="15" t="n">
        <v>13</v>
      </c>
      <c r="G66" s="15" t="n">
        <v>10</v>
      </c>
      <c r="H66" s="15" t="n">
        <v>16</v>
      </c>
      <c r="I66" s="15" t="n">
        <v>10</v>
      </c>
      <c r="J66" s="15" t="n">
        <v>16</v>
      </c>
      <c r="K66" s="15" t="n">
        <v>9</v>
      </c>
      <c r="L66" s="15" t="n">
        <v>9</v>
      </c>
      <c r="M66" s="15" t="n">
        <v>8</v>
      </c>
      <c r="N66" s="15" t="n">
        <v>13</v>
      </c>
      <c r="O66" s="15" t="n">
        <v>12</v>
      </c>
      <c r="P66" s="16">
        <f>IF(COUNTIFS(F66:O66,"&gt;=0",F66:O66,"&lt;=20")=0,"",COUNTIFS(F66:O66,"&gt;=0",F66:O66,"&lt;=20"))</f>
        <v/>
      </c>
      <c r="Q66" s="16">
        <f>IF(P66="","",SUMIFS(F66:O66,F66:O66,"&gt;=0",F66:O66,"&lt;=20"))</f>
        <v/>
      </c>
      <c r="R66" s="16">
        <f>IF(P66="","",ROUND(Q66/P66,2))</f>
        <v/>
      </c>
      <c r="S66" s="10" t="n">
        <v>2026</v>
      </c>
      <c r="T66" s="15" t="n"/>
      <c r="U66" s="15" t="n"/>
      <c r="V66" s="15" t="n"/>
      <c r="W66" s="15" t="inlineStr">
        <is>
          <t>EJEMPLO: dato inventado, reemplazar</t>
        </is>
      </c>
    </row>
    <row r="67">
      <c r="A67" s="10" t="inlineStr">
        <is>
          <t>EST-058</t>
        </is>
      </c>
      <c r="B67" s="10" t="n">
        <v>3</v>
      </c>
      <c r="C67" s="15" t="inlineStr">
        <is>
          <t>A</t>
        </is>
      </c>
      <c r="D67" s="16">
        <f>IF(B67=3,"control",IF(B67=4,"experimental",""))</f>
        <v/>
      </c>
      <c r="E67" s="10" t="inlineStr">
        <is>
          <t>pre</t>
        </is>
      </c>
      <c r="F67" s="15" t="n">
        <v>16</v>
      </c>
      <c r="G67" s="15" t="n">
        <v>13</v>
      </c>
      <c r="H67" s="15" t="n">
        <v>15</v>
      </c>
      <c r="I67" s="15" t="n">
        <v>14</v>
      </c>
      <c r="J67" s="15" t="n">
        <v>10</v>
      </c>
      <c r="K67" s="15" t="n">
        <v>12</v>
      </c>
      <c r="L67" s="15" t="n">
        <v>10</v>
      </c>
      <c r="M67" s="15" t="n">
        <v>12</v>
      </c>
      <c r="N67" s="15" t="n">
        <v>12</v>
      </c>
      <c r="O67" s="15" t="n">
        <v>12</v>
      </c>
      <c r="P67" s="16">
        <f>IF(COUNTIFS(F67:O67,"&gt;=0",F67:O67,"&lt;=20")=0,"",COUNTIFS(F67:O67,"&gt;=0",F67:O67,"&lt;=20"))</f>
        <v/>
      </c>
      <c r="Q67" s="16">
        <f>IF(P67="","",SUMIFS(F67:O67,F67:O67,"&gt;=0",F67:O67,"&lt;=20"))</f>
        <v/>
      </c>
      <c r="R67" s="16">
        <f>IF(P67="","",ROUND(Q67/P67,2))</f>
        <v/>
      </c>
      <c r="S67" s="10" t="n">
        <v>2026</v>
      </c>
      <c r="T67" s="15" t="n"/>
      <c r="U67" s="15" t="n"/>
      <c r="V67" s="15" t="n"/>
      <c r="W67" s="15" t="inlineStr">
        <is>
          <t>EJEMPLO: dato inventado, reemplazar</t>
        </is>
      </c>
    </row>
    <row r="68">
      <c r="A68" s="10" t="inlineStr">
        <is>
          <t>EST-059</t>
        </is>
      </c>
      <c r="B68" s="10" t="n">
        <v>3</v>
      </c>
      <c r="C68" s="15" t="inlineStr">
        <is>
          <t>A</t>
        </is>
      </c>
      <c r="D68" s="16">
        <f>IF(B68=3,"control",IF(B68=4,"experimental",""))</f>
        <v/>
      </c>
      <c r="E68" s="10" t="inlineStr">
        <is>
          <t>pre</t>
        </is>
      </c>
      <c r="F68" s="15" t="n">
        <v>16</v>
      </c>
      <c r="G68" s="15" t="n">
        <v>15</v>
      </c>
      <c r="H68" s="15" t="n">
        <v>17</v>
      </c>
      <c r="I68" s="15" t="n">
        <v>16</v>
      </c>
      <c r="J68" s="15" t="n">
        <v>15</v>
      </c>
      <c r="K68" s="15" t="n">
        <v>16</v>
      </c>
      <c r="L68" s="15" t="n">
        <v>13</v>
      </c>
      <c r="M68" s="15" t="n">
        <v>14</v>
      </c>
      <c r="N68" s="15" t="n">
        <v>14</v>
      </c>
      <c r="O68" s="15" t="n">
        <v>16</v>
      </c>
      <c r="P68" s="16">
        <f>IF(COUNTIFS(F68:O68,"&gt;=0",F68:O68,"&lt;=20")=0,"",COUNTIFS(F68:O68,"&gt;=0",F68:O68,"&lt;=20"))</f>
        <v/>
      </c>
      <c r="Q68" s="16">
        <f>IF(P68="","",SUMIFS(F68:O68,F68:O68,"&gt;=0",F68:O68,"&lt;=20"))</f>
        <v/>
      </c>
      <c r="R68" s="16">
        <f>IF(P68="","",ROUND(Q68/P68,2))</f>
        <v/>
      </c>
      <c r="S68" s="10" t="n">
        <v>2026</v>
      </c>
      <c r="T68" s="15" t="n"/>
      <c r="U68" s="15" t="n"/>
      <c r="V68" s="15" t="n"/>
      <c r="W68" s="15" t="inlineStr">
        <is>
          <t>EJEMPLO: dato inventado, reemplazar</t>
        </is>
      </c>
    </row>
    <row r="69">
      <c r="A69" s="10" t="inlineStr">
        <is>
          <t>EST-060</t>
        </is>
      </c>
      <c r="B69" s="10" t="n">
        <v>3</v>
      </c>
      <c r="C69" s="15" t="inlineStr">
        <is>
          <t>A</t>
        </is>
      </c>
      <c r="D69" s="16">
        <f>IF(B69=3,"control",IF(B69=4,"experimental",""))</f>
        <v/>
      </c>
      <c r="E69" s="10" t="inlineStr">
        <is>
          <t>pre</t>
        </is>
      </c>
      <c r="F69" s="15" t="n">
        <v>14</v>
      </c>
      <c r="G69" s="15" t="n">
        <v>13</v>
      </c>
      <c r="H69" s="15" t="n">
        <v>17</v>
      </c>
      <c r="I69" s="15" t="n">
        <v>13</v>
      </c>
      <c r="J69" s="15" t="n">
        <v>15</v>
      </c>
      <c r="K69" s="15" t="n">
        <v>11</v>
      </c>
      <c r="L69" s="15" t="n">
        <v>11</v>
      </c>
      <c r="M69" s="15" t="n">
        <v>14</v>
      </c>
      <c r="N69" s="15" t="n">
        <v>13</v>
      </c>
      <c r="O69" s="15" t="n">
        <v>12</v>
      </c>
      <c r="P69" s="16">
        <f>IF(COUNTIFS(F69:O69,"&gt;=0",F69:O69,"&lt;=20")=0,"",COUNTIFS(F69:O69,"&gt;=0",F69:O69,"&lt;=20"))</f>
        <v/>
      </c>
      <c r="Q69" s="16">
        <f>IF(P69="","",SUMIFS(F69:O69,F69:O69,"&gt;=0",F69:O69,"&lt;=20"))</f>
        <v/>
      </c>
      <c r="R69" s="16">
        <f>IF(P69="","",ROUND(Q69/P69,2))</f>
        <v/>
      </c>
      <c r="S69" s="10" t="n">
        <v>2026</v>
      </c>
      <c r="T69" s="15" t="n"/>
      <c r="U69" s="15" t="n"/>
      <c r="V69" s="15" t="n"/>
      <c r="W69" s="15" t="inlineStr">
        <is>
          <t>EJEMPLO: dato inventado, reemplazar</t>
        </is>
      </c>
    </row>
    <row r="70">
      <c r="A70" s="10" t="inlineStr">
        <is>
          <t>EST-061</t>
        </is>
      </c>
      <c r="B70" s="10" t="n">
        <v>3</v>
      </c>
      <c r="C70" s="15" t="inlineStr">
        <is>
          <t>A</t>
        </is>
      </c>
      <c r="D70" s="16">
        <f>IF(B70=3,"control",IF(B70=4,"experimental",""))</f>
        <v/>
      </c>
      <c r="E70" s="10" t="inlineStr">
        <is>
          <t>pre</t>
        </is>
      </c>
      <c r="F70" s="15" t="n">
        <v>16</v>
      </c>
      <c r="G70" s="15" t="n">
        <v>13</v>
      </c>
      <c r="H70" s="15" t="n">
        <v>12</v>
      </c>
      <c r="I70" s="15" t="n">
        <v>15</v>
      </c>
      <c r="J70" s="15" t="n">
        <v>12</v>
      </c>
      <c r="K70" s="15" t="n">
        <v>14</v>
      </c>
      <c r="L70" s="15" t="n">
        <v>14</v>
      </c>
      <c r="M70" s="15" t="n">
        <v>11</v>
      </c>
      <c r="N70" s="15" t="n">
        <v>13</v>
      </c>
      <c r="O70" s="15" t="n">
        <v>13</v>
      </c>
      <c r="P70" s="16">
        <f>IF(COUNTIFS(F70:O70,"&gt;=0",F70:O70,"&lt;=20")=0,"",COUNTIFS(F70:O70,"&gt;=0",F70:O70,"&lt;=20"))</f>
        <v/>
      </c>
      <c r="Q70" s="16">
        <f>IF(P70="","",SUMIFS(F70:O70,F70:O70,"&gt;=0",F70:O70,"&lt;=20"))</f>
        <v/>
      </c>
      <c r="R70" s="16">
        <f>IF(P70="","",ROUND(Q70/P70,2))</f>
        <v/>
      </c>
      <c r="S70" s="10" t="n">
        <v>2026</v>
      </c>
      <c r="T70" s="15" t="n"/>
      <c r="U70" s="15" t="n"/>
      <c r="V70" s="15" t="n"/>
      <c r="W70" s="15" t="inlineStr">
        <is>
          <t>EJEMPLO: dato inventado, reemplazar</t>
        </is>
      </c>
    </row>
    <row r="71">
      <c r="A71" s="10" t="inlineStr">
        <is>
          <t>EST-062</t>
        </is>
      </c>
      <c r="B71" s="10" t="n">
        <v>3</v>
      </c>
      <c r="C71" s="15" t="inlineStr">
        <is>
          <t>A</t>
        </is>
      </c>
      <c r="D71" s="16">
        <f>IF(B71=3,"control",IF(B71=4,"experimental",""))</f>
        <v/>
      </c>
      <c r="E71" s="10" t="inlineStr">
        <is>
          <t>pre</t>
        </is>
      </c>
      <c r="F71" s="15" t="n">
        <v>11</v>
      </c>
      <c r="G71" s="15" t="n">
        <v>10</v>
      </c>
      <c r="H71" s="15" t="n">
        <v>11</v>
      </c>
      <c r="I71" s="15" t="n">
        <v>14</v>
      </c>
      <c r="J71" s="15" t="n">
        <v>14</v>
      </c>
      <c r="K71" s="15" t="n">
        <v>12</v>
      </c>
      <c r="L71" s="15" t="n">
        <v>12</v>
      </c>
      <c r="M71" s="15" t="n">
        <v>9</v>
      </c>
      <c r="N71" s="15" t="n">
        <v>11</v>
      </c>
      <c r="O71" s="15" t="n">
        <v>11</v>
      </c>
      <c r="P71" s="16">
        <f>IF(COUNTIFS(F71:O71,"&gt;=0",F71:O71,"&lt;=20")=0,"",COUNTIFS(F71:O71,"&gt;=0",F71:O71,"&lt;=20"))</f>
        <v/>
      </c>
      <c r="Q71" s="16">
        <f>IF(P71="","",SUMIFS(F71:O71,F71:O71,"&gt;=0",F71:O71,"&lt;=20"))</f>
        <v/>
      </c>
      <c r="R71" s="16">
        <f>IF(P71="","",ROUND(Q71/P71,2))</f>
        <v/>
      </c>
      <c r="S71" s="10" t="n">
        <v>2026</v>
      </c>
      <c r="T71" s="15" t="n"/>
      <c r="U71" s="15" t="n"/>
      <c r="V71" s="15" t="n"/>
      <c r="W71" s="15" t="inlineStr">
        <is>
          <t>EJEMPLO: dato inventado, reemplazar</t>
        </is>
      </c>
    </row>
    <row r="72">
      <c r="A72" s="10" t="inlineStr">
        <is>
          <t>EST-063</t>
        </is>
      </c>
      <c r="B72" s="10" t="n">
        <v>3</v>
      </c>
      <c r="C72" s="15" t="inlineStr">
        <is>
          <t>A</t>
        </is>
      </c>
      <c r="D72" s="16">
        <f>IF(B72=3,"control",IF(B72=4,"experimental",""))</f>
        <v/>
      </c>
      <c r="E72" s="10" t="inlineStr">
        <is>
          <t>pre</t>
        </is>
      </c>
      <c r="F72" s="15" t="n">
        <v>13</v>
      </c>
      <c r="G72" s="15" t="n">
        <v>12</v>
      </c>
      <c r="H72" s="15" t="n">
        <v>15</v>
      </c>
      <c r="I72" s="15" t="n">
        <v>15</v>
      </c>
      <c r="J72" s="15" t="n">
        <v>12</v>
      </c>
      <c r="K72" s="15" t="n">
        <v>15</v>
      </c>
      <c r="L72" s="15" t="n">
        <v>13</v>
      </c>
      <c r="M72" s="15" t="n">
        <v>15</v>
      </c>
      <c r="N72" s="15" t="n">
        <v>13</v>
      </c>
      <c r="O72" s="15" t="n">
        <v>14</v>
      </c>
      <c r="P72" s="16">
        <f>IF(COUNTIFS(F72:O72,"&gt;=0",F72:O72,"&lt;=20")=0,"",COUNTIFS(F72:O72,"&gt;=0",F72:O72,"&lt;=20"))</f>
        <v/>
      </c>
      <c r="Q72" s="16">
        <f>IF(P72="","",SUMIFS(F72:O72,F72:O72,"&gt;=0",F72:O72,"&lt;=20"))</f>
        <v/>
      </c>
      <c r="R72" s="16">
        <f>IF(P72="","",ROUND(Q72/P72,2))</f>
        <v/>
      </c>
      <c r="S72" s="10" t="n">
        <v>2026</v>
      </c>
      <c r="T72" s="15" t="n"/>
      <c r="U72" s="15" t="n"/>
      <c r="V72" s="15" t="n"/>
      <c r="W72" s="15" t="inlineStr">
        <is>
          <t>EJEMPLO: dato inventado, reemplazar</t>
        </is>
      </c>
    </row>
    <row r="73">
      <c r="A73" s="10" t="inlineStr">
        <is>
          <t>EST-064</t>
        </is>
      </c>
      <c r="B73" s="10" t="n">
        <v>3</v>
      </c>
      <c r="C73" s="15" t="inlineStr">
        <is>
          <t>A</t>
        </is>
      </c>
      <c r="D73" s="16">
        <f>IF(B73=3,"control",IF(B73=4,"experimental",""))</f>
        <v/>
      </c>
      <c r="E73" s="10" t="inlineStr">
        <is>
          <t>pre</t>
        </is>
      </c>
      <c r="F73" s="15" t="n">
        <v>16</v>
      </c>
      <c r="G73" s="15" t="n">
        <v>14</v>
      </c>
      <c r="H73" s="15" t="n">
        <v>17</v>
      </c>
      <c r="I73" s="15" t="n">
        <v>16</v>
      </c>
      <c r="J73" s="15" t="n">
        <v>15</v>
      </c>
      <c r="K73" s="15" t="n">
        <v>18</v>
      </c>
      <c r="L73" s="15" t="n">
        <v>15</v>
      </c>
      <c r="M73" s="15" t="n">
        <v>12</v>
      </c>
      <c r="N73" s="15" t="n">
        <v>15</v>
      </c>
      <c r="O73" s="15" t="n">
        <v>18</v>
      </c>
      <c r="P73" s="16">
        <f>IF(COUNTIFS(F73:O73,"&gt;=0",F73:O73,"&lt;=20")=0,"",COUNTIFS(F73:O73,"&gt;=0",F73:O73,"&lt;=20"))</f>
        <v/>
      </c>
      <c r="Q73" s="16">
        <f>IF(P73="","",SUMIFS(F73:O73,F73:O73,"&gt;=0",F73:O73,"&lt;=20"))</f>
        <v/>
      </c>
      <c r="R73" s="16">
        <f>IF(P73="","",ROUND(Q73/P73,2))</f>
        <v/>
      </c>
      <c r="S73" s="10" t="n">
        <v>2026</v>
      </c>
      <c r="T73" s="15" t="n"/>
      <c r="U73" s="15" t="n"/>
      <c r="V73" s="15" t="n"/>
      <c r="W73" s="15" t="inlineStr">
        <is>
          <t>EJEMPLO: dato inventado, reemplazar</t>
        </is>
      </c>
    </row>
    <row r="74">
      <c r="A74" s="10" t="inlineStr">
        <is>
          <t>EST-065</t>
        </is>
      </c>
      <c r="B74" s="10" t="n">
        <v>3</v>
      </c>
      <c r="C74" s="15" t="inlineStr">
        <is>
          <t>A</t>
        </is>
      </c>
      <c r="D74" s="16">
        <f>IF(B74=3,"control",IF(B74=4,"experimental",""))</f>
        <v/>
      </c>
      <c r="E74" s="10" t="inlineStr">
        <is>
          <t>pre</t>
        </is>
      </c>
      <c r="F74" s="15" t="n">
        <v>15</v>
      </c>
      <c r="G74" s="15" t="n">
        <v>15</v>
      </c>
      <c r="H74" s="15" t="n">
        <v>16</v>
      </c>
      <c r="I74" s="15" t="n">
        <v>18</v>
      </c>
      <c r="J74" s="15" t="n">
        <v>14</v>
      </c>
      <c r="K74" s="15" t="n">
        <v>12</v>
      </c>
      <c r="L74" s="15" t="n">
        <v>12</v>
      </c>
      <c r="M74" s="15" t="n">
        <v>17</v>
      </c>
      <c r="N74" s="15" t="n">
        <v>14</v>
      </c>
      <c r="O74" s="15" t="n">
        <v>14</v>
      </c>
      <c r="P74" s="16">
        <f>IF(COUNTIFS(F74:O74,"&gt;=0",F74:O74,"&lt;=20")=0,"",COUNTIFS(F74:O74,"&gt;=0",F74:O74,"&lt;=20"))</f>
        <v/>
      </c>
      <c r="Q74" s="16">
        <f>IF(P74="","",SUMIFS(F74:O74,F74:O74,"&gt;=0",F74:O74,"&lt;=20"))</f>
        <v/>
      </c>
      <c r="R74" s="16">
        <f>IF(P74="","",ROUND(Q74/P74,2))</f>
        <v/>
      </c>
      <c r="S74" s="10" t="n">
        <v>2026</v>
      </c>
      <c r="T74" s="15" t="n"/>
      <c r="U74" s="15" t="n"/>
      <c r="V74" s="15" t="n"/>
      <c r="W74" s="15" t="inlineStr">
        <is>
          <t>EJEMPLO: dato inventado, reemplazar</t>
        </is>
      </c>
    </row>
    <row r="75">
      <c r="A75" s="10" t="inlineStr">
        <is>
          <t>EST-066</t>
        </is>
      </c>
      <c r="B75" s="10" t="n">
        <v>3</v>
      </c>
      <c r="C75" s="15" t="inlineStr">
        <is>
          <t>A</t>
        </is>
      </c>
      <c r="D75" s="16">
        <f>IF(B75=3,"control",IF(B75=4,"experimental",""))</f>
        <v/>
      </c>
      <c r="E75" s="10" t="inlineStr">
        <is>
          <t>pre</t>
        </is>
      </c>
      <c r="F75" s="15" t="n">
        <v>10</v>
      </c>
      <c r="G75" s="15" t="n">
        <v>14</v>
      </c>
      <c r="H75" s="15" t="n">
        <v>11</v>
      </c>
      <c r="I75" s="15" t="n">
        <v>14</v>
      </c>
      <c r="J75" s="15" t="n">
        <v>15</v>
      </c>
      <c r="K75" s="15" t="n">
        <v>12</v>
      </c>
      <c r="L75" s="15" t="n">
        <v>10</v>
      </c>
      <c r="M75" s="15" t="n">
        <v>15</v>
      </c>
      <c r="N75" s="15" t="n">
        <v>12</v>
      </c>
      <c r="O75" s="15" t="n">
        <v>14</v>
      </c>
      <c r="P75" s="16">
        <f>IF(COUNTIFS(F75:O75,"&gt;=0",F75:O75,"&lt;=20")=0,"",COUNTIFS(F75:O75,"&gt;=0",F75:O75,"&lt;=20"))</f>
        <v/>
      </c>
      <c r="Q75" s="16">
        <f>IF(P75="","",SUMIFS(F75:O75,F75:O75,"&gt;=0",F75:O75,"&lt;=20"))</f>
        <v/>
      </c>
      <c r="R75" s="16">
        <f>IF(P75="","",ROUND(Q75/P75,2))</f>
        <v/>
      </c>
      <c r="S75" s="10" t="n">
        <v>2026</v>
      </c>
      <c r="T75" s="15" t="n"/>
      <c r="U75" s="15" t="n"/>
      <c r="V75" s="15" t="n"/>
      <c r="W75" s="15" t="inlineStr">
        <is>
          <t>EJEMPLO: dato inventado, reemplazar</t>
        </is>
      </c>
    </row>
    <row r="76">
      <c r="A76" s="10" t="inlineStr">
        <is>
          <t>EST-067</t>
        </is>
      </c>
      <c r="B76" s="10" t="n">
        <v>3</v>
      </c>
      <c r="C76" s="15" t="inlineStr">
        <is>
          <t>A</t>
        </is>
      </c>
      <c r="D76" s="16">
        <f>IF(B76=3,"control",IF(B76=4,"experimental",""))</f>
        <v/>
      </c>
      <c r="E76" s="10" t="inlineStr">
        <is>
          <t>pre</t>
        </is>
      </c>
      <c r="F76" s="15" t="n">
        <v>13</v>
      </c>
      <c r="G76" s="15" t="n">
        <v>16</v>
      </c>
      <c r="H76" s="15" t="n">
        <v>13</v>
      </c>
      <c r="I76" s="15" t="n">
        <v>16</v>
      </c>
      <c r="J76" s="15" t="n">
        <v>14</v>
      </c>
      <c r="K76" s="15" t="n">
        <v>15</v>
      </c>
      <c r="L76" s="15" t="n">
        <v>15</v>
      </c>
      <c r="M76" s="15" t="n">
        <v>15</v>
      </c>
      <c r="N76" s="15" t="n">
        <v>14</v>
      </c>
      <c r="O76" s="15" t="n">
        <v>14</v>
      </c>
      <c r="P76" s="16">
        <f>IF(COUNTIFS(F76:O76,"&gt;=0",F76:O76,"&lt;=20")=0,"",COUNTIFS(F76:O76,"&gt;=0",F76:O76,"&lt;=20"))</f>
        <v/>
      </c>
      <c r="Q76" s="16">
        <f>IF(P76="","",SUMIFS(F76:O76,F76:O76,"&gt;=0",F76:O76,"&lt;=20"))</f>
        <v/>
      </c>
      <c r="R76" s="16">
        <f>IF(P76="","",ROUND(Q76/P76,2))</f>
        <v/>
      </c>
      <c r="S76" s="10" t="n">
        <v>2026</v>
      </c>
      <c r="T76" s="15" t="n"/>
      <c r="U76" s="15" t="n"/>
      <c r="V76" s="15" t="n"/>
      <c r="W76" s="15" t="inlineStr">
        <is>
          <t>EJEMPLO: dato inventado, reemplazar</t>
        </is>
      </c>
    </row>
    <row r="77">
      <c r="A77" s="10" t="inlineStr">
        <is>
          <t>EST-068</t>
        </is>
      </c>
      <c r="B77" s="10" t="n">
        <v>3</v>
      </c>
      <c r="C77" s="15" t="inlineStr">
        <is>
          <t>A</t>
        </is>
      </c>
      <c r="D77" s="16">
        <f>IF(B77=3,"control",IF(B77=4,"experimental",""))</f>
        <v/>
      </c>
      <c r="E77" s="10" t="inlineStr">
        <is>
          <t>pre</t>
        </is>
      </c>
      <c r="F77" s="15" t="n">
        <v>9</v>
      </c>
      <c r="G77" s="15" t="n">
        <v>11</v>
      </c>
      <c r="H77" s="15" t="n">
        <v>14</v>
      </c>
      <c r="I77" s="15" t="n">
        <v>12</v>
      </c>
      <c r="J77" s="15" t="n">
        <v>10</v>
      </c>
      <c r="K77" s="15" t="n">
        <v>8</v>
      </c>
      <c r="L77" s="15" t="n">
        <v>9</v>
      </c>
      <c r="M77" s="15" t="n">
        <v>12</v>
      </c>
      <c r="N77" s="15" t="n">
        <v>11</v>
      </c>
      <c r="O77" s="15" t="n">
        <v>14</v>
      </c>
      <c r="P77" s="16">
        <f>IF(COUNTIFS(F77:O77,"&gt;=0",F77:O77,"&lt;=20")=0,"",COUNTIFS(F77:O77,"&gt;=0",F77:O77,"&lt;=20"))</f>
        <v/>
      </c>
      <c r="Q77" s="16">
        <f>IF(P77="","",SUMIFS(F77:O77,F77:O77,"&gt;=0",F77:O77,"&lt;=20"))</f>
        <v/>
      </c>
      <c r="R77" s="16">
        <f>IF(P77="","",ROUND(Q77/P77,2))</f>
        <v/>
      </c>
      <c r="S77" s="10" t="n">
        <v>2026</v>
      </c>
      <c r="T77" s="15" t="n"/>
      <c r="U77" s="15" t="n"/>
      <c r="V77" s="15" t="n"/>
      <c r="W77" s="15" t="inlineStr">
        <is>
          <t>EJEMPLO: dato inventado, reemplazar</t>
        </is>
      </c>
    </row>
    <row r="78">
      <c r="A78" s="10" t="inlineStr">
        <is>
          <t>EST-069</t>
        </is>
      </c>
      <c r="B78" s="10" t="n">
        <v>3</v>
      </c>
      <c r="C78" s="15" t="inlineStr">
        <is>
          <t>A</t>
        </is>
      </c>
      <c r="D78" s="16">
        <f>IF(B78=3,"control",IF(B78=4,"experimental",""))</f>
        <v/>
      </c>
      <c r="E78" s="10" t="inlineStr">
        <is>
          <t>pre</t>
        </is>
      </c>
      <c r="F78" s="15" t="n">
        <v>15</v>
      </c>
      <c r="G78" s="15" t="n">
        <v>10</v>
      </c>
      <c r="H78" s="15" t="n">
        <v>13</v>
      </c>
      <c r="I78" s="15" t="n">
        <v>10</v>
      </c>
      <c r="J78" s="15" t="n">
        <v>10</v>
      </c>
      <c r="K78" s="15" t="n">
        <v>15</v>
      </c>
      <c r="L78" s="15" t="n">
        <v>13</v>
      </c>
      <c r="M78" s="15" t="n">
        <v>12</v>
      </c>
      <c r="N78" s="15" t="n">
        <v>12</v>
      </c>
      <c r="O78" s="15" t="n">
        <v>13</v>
      </c>
      <c r="P78" s="16">
        <f>IF(COUNTIFS(F78:O78,"&gt;=0",F78:O78,"&lt;=20")=0,"",COUNTIFS(F78:O78,"&gt;=0",F78:O78,"&lt;=20"))</f>
        <v/>
      </c>
      <c r="Q78" s="16">
        <f>IF(P78="","",SUMIFS(F78:O78,F78:O78,"&gt;=0",F78:O78,"&lt;=20"))</f>
        <v/>
      </c>
      <c r="R78" s="16">
        <f>IF(P78="","",ROUND(Q78/P78,2))</f>
        <v/>
      </c>
      <c r="S78" s="10" t="n">
        <v>2026</v>
      </c>
      <c r="T78" s="15" t="n"/>
      <c r="U78" s="15" t="n"/>
      <c r="V78" s="15" t="n"/>
      <c r="W78" s="15" t="inlineStr">
        <is>
          <t>EJEMPLO: dato inventado, reemplazar</t>
        </is>
      </c>
    </row>
    <row r="79">
      <c r="A79" s="10" t="inlineStr">
        <is>
          <t>EST-070</t>
        </is>
      </c>
      <c r="B79" s="10" t="n">
        <v>3</v>
      </c>
      <c r="C79" s="15" t="inlineStr">
        <is>
          <t>A</t>
        </is>
      </c>
      <c r="D79" s="16">
        <f>IF(B79=3,"control",IF(B79=4,"experimental",""))</f>
        <v/>
      </c>
      <c r="E79" s="10" t="inlineStr">
        <is>
          <t>pre</t>
        </is>
      </c>
      <c r="F79" s="15" t="n">
        <v>14</v>
      </c>
      <c r="G79" s="15" t="n">
        <v>14</v>
      </c>
      <c r="H79" s="15" t="n">
        <v>14</v>
      </c>
      <c r="I79" s="15" t="n">
        <v>14</v>
      </c>
      <c r="J79" s="15" t="n">
        <v>14</v>
      </c>
      <c r="K79" s="15" t="n">
        <v>14</v>
      </c>
      <c r="L79" s="15" t="n">
        <v>11</v>
      </c>
      <c r="M79" s="15" t="n">
        <v>12</v>
      </c>
      <c r="N79" s="15" t="n">
        <v>16</v>
      </c>
      <c r="O79" s="15" t="n">
        <v>13</v>
      </c>
      <c r="P79" s="16">
        <f>IF(COUNTIFS(F79:O79,"&gt;=0",F79:O79,"&lt;=20")=0,"",COUNTIFS(F79:O79,"&gt;=0",F79:O79,"&lt;=20"))</f>
        <v/>
      </c>
      <c r="Q79" s="16">
        <f>IF(P79="","",SUMIFS(F79:O79,F79:O79,"&gt;=0",F79:O79,"&lt;=20"))</f>
        <v/>
      </c>
      <c r="R79" s="16">
        <f>IF(P79="","",ROUND(Q79/P79,2))</f>
        <v/>
      </c>
      <c r="S79" s="10" t="n">
        <v>2026</v>
      </c>
      <c r="T79" s="15" t="n"/>
      <c r="U79" s="15" t="n"/>
      <c r="V79" s="15" t="n"/>
      <c r="W79" s="15" t="inlineStr">
        <is>
          <t>EJEMPLO: dato inventado, reemplazar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9:W79"/>
  <conditionalFormatting sqref="A10:A79">
    <cfRule type="expression" priority="1" dxfId="0">
      <formula>AND($A10&lt;&gt;"",A10="")</formula>
    </cfRule>
  </conditionalFormatting>
  <conditionalFormatting sqref="B10:B79">
    <cfRule type="expression" priority="2" dxfId="0">
      <formula>AND($A10&lt;&gt;"",B10="")</formula>
    </cfRule>
  </conditionalFormatting>
  <conditionalFormatting sqref="C10:C79">
    <cfRule type="expression" priority="3" dxfId="0">
      <formula>AND($A10&lt;&gt;"",C10="")</formula>
    </cfRule>
  </conditionalFormatting>
  <conditionalFormatting sqref="E10:E79">
    <cfRule type="expression" priority="4" dxfId="0">
      <formula>AND($A10&lt;&gt;"",E10="")</formula>
    </cfRule>
  </conditionalFormatting>
  <conditionalFormatting sqref="S10:S79">
    <cfRule type="expression" priority="5" dxfId="0">
      <formula>AND($A10&lt;&gt;"",S10="")</formula>
    </cfRule>
  </conditionalFormatting>
  <conditionalFormatting sqref="V10:V79">
    <cfRule type="expression" priority="6" dxfId="0">
      <formula>AND($U10="sí",V10="")</formula>
    </cfRule>
  </conditionalFormatting>
  <conditionalFormatting sqref="F10:F79">
    <cfRule type="expression" priority="7" dxfId="1">
      <formula>AND(F10&lt;&gt;"",NOT(AND(ISNUMBER(F10),F10&gt;=0,F10&lt;=20)))</formula>
    </cfRule>
  </conditionalFormatting>
  <conditionalFormatting sqref="G10:G79">
    <cfRule type="expression" priority="8" dxfId="1">
      <formula>AND(G10&lt;&gt;"",NOT(AND(ISNUMBER(G10),G10&gt;=0,G10&lt;=20)))</formula>
    </cfRule>
  </conditionalFormatting>
  <conditionalFormatting sqref="H10:H79">
    <cfRule type="expression" priority="9" dxfId="1">
      <formula>AND(H10&lt;&gt;"",NOT(AND(ISNUMBER(H10),H10&gt;=0,H10&lt;=20)))</formula>
    </cfRule>
  </conditionalFormatting>
  <conditionalFormatting sqref="I10:I79">
    <cfRule type="expression" priority="10" dxfId="1">
      <formula>AND(I10&lt;&gt;"",NOT(AND(ISNUMBER(I10),I10&gt;=0,I10&lt;=20)))</formula>
    </cfRule>
  </conditionalFormatting>
  <conditionalFormatting sqref="J10:J79">
    <cfRule type="expression" priority="11" dxfId="1">
      <formula>AND(J10&lt;&gt;"",NOT(AND(ISNUMBER(J10),J10&gt;=0,J10&lt;=20)))</formula>
    </cfRule>
  </conditionalFormatting>
  <conditionalFormatting sqref="K10:K79">
    <cfRule type="expression" priority="12" dxfId="1">
      <formula>AND(K10&lt;&gt;"",NOT(AND(ISNUMBER(K10),K10&gt;=0,K10&lt;=20)))</formula>
    </cfRule>
  </conditionalFormatting>
  <conditionalFormatting sqref="L10:L79">
    <cfRule type="expression" priority="13" dxfId="1">
      <formula>AND(L10&lt;&gt;"",NOT(AND(ISNUMBER(L10),L10&gt;=0,L10&lt;=20)))</formula>
    </cfRule>
  </conditionalFormatting>
  <conditionalFormatting sqref="M10:M79">
    <cfRule type="expression" priority="14" dxfId="1">
      <formula>AND(M10&lt;&gt;"",NOT(AND(ISNUMBER(M10),M10&gt;=0,M10&lt;=20)))</formula>
    </cfRule>
  </conditionalFormatting>
  <conditionalFormatting sqref="N10:N79">
    <cfRule type="expression" priority="15" dxfId="1">
      <formula>AND(N10&lt;&gt;"",NOT(AND(ISNUMBER(N10),N10&gt;=0,N10&lt;=20)))</formula>
    </cfRule>
  </conditionalFormatting>
  <conditionalFormatting sqref="O10:O79">
    <cfRule type="expression" priority="16" dxfId="1">
      <formula>AND(O10&lt;&gt;"",NOT(AND(ISNUMBER(O10),O10&gt;=0,O10&lt;=20)))</formula>
    </cfRule>
  </conditionalFormatting>
  <dataValidations count="20">
    <dataValidation sqref="B2" showDropDown="0" showInputMessage="0" showErrorMessage="1" allowBlank="1" errorTitle="Valor no válido" error="Año entre 2024 y 2026." type="whole" operator="between">
      <formula1>2024</formula1>
      <formula2>2026</formula2>
    </dataValidation>
    <dataValidation sqref="B3" showDropDown="0" showInputMessage="0" showErrorMessage="1" allowBlank="1" errorTitle="Valor no válido" error="El corte es el I bimestre." type="list">
      <formula1>"I bimestre"</formula1>
    </dataValidation>
    <dataValidation sqref="A10:A79" showDropDown="0" showInputMessage="0" showErrorMessage="1" allowBlank="1" errorTitle="Valor no válido" error="Use el formato EST-001 (sin nombres ni DNI)." type="custom">
      <formula1>AND(LEN(A10)=7,LEFT(A10,4)="EST-",ISNUMBER(VALUE(RIGHT(A10,3))))</formula1>
    </dataValidation>
    <dataValidation sqref="B10:B79" showDropDown="0" showInputMessage="0" showErrorMessage="1" allowBlank="1" errorTitle="Valor no válido" error="El grado debe ser 3 o 4." type="whole" operator="between">
      <formula1>3</formula1>
      <formula2>4</formula2>
    </dataValidation>
    <dataValidation sqref="C10:C79" showDropDown="0" showInputMessage="0" showErrorMessage="1" allowBlank="1" errorTitle="Valor no válido" error="La sección tiene 1 o 2 caracteres (ej. A)." type="textLength" operator="between">
      <formula1>1</formula1>
      <formula2>2</formula2>
    </dataValidation>
    <dataValidation sqref="E10:E79" showDropDown="0" showInputMessage="0" showErrorMessage="1" allowBlank="1" errorTitle="Valor no válido" error="Elija pre o post." type="list">
      <formula1>"pre,post"</formula1>
    </dataValidation>
    <dataValidation sqref="F10:F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G10:G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H10:H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I10:I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J10:J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K10:K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L10:L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M10:M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N10:N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O10:O79" showDropDown="0" showInputMessage="0" showErrorMessage="1" allowBlank="1" errorTitle="Valor no válido" error="La nota debe ser un número de 0 a 20." type="decimal" operator="between">
      <formula1>0</formula1>
      <formula2>20</formula2>
    </dataValidation>
    <dataValidation sqref="S10:S79" showDropDown="0" showInputMessage="0" showErrorMessage="1" allowBlank="1" errorTitle="Valor no válido" error="El año debe estar entre 2024 y 2026." type="whole" operator="between">
      <formula1>2024</formula1>
      <formula2>2026</formula2>
    </dataValidation>
    <dataValidation sqref="T10:T79" showDropDown="0" showInputMessage="0" showErrorMessage="1" allowBlank="1" errorTitle="Valor no válido" error="Use 1 (desertó) o 0 (no desertó)." type="whole" operator="between">
      <formula1>0</formula1>
      <formula2>1</formula2>
    </dataValidation>
    <dataValidation sqref="U10:U79" showDropDown="0" showInputMessage="0" showErrorMessage="1" allowBlank="1" errorTitle="Valor no válido" error="Elija sí o no." type="list">
      <formula1>"sí,no"</formula1>
    </dataValidation>
    <dataValidation sqref="V10:V79" showDropDown="0" showInputMessage="0" showErrorMessage="1" allowBlank="1" errorTitle="Valor no válido" error="Elija un motivo de la lista." type="list">
      <formula1>"traslado definitivo,dimensión incompleta,registro inconsistente"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2026-09-25T06:17:36Z</dcterms:created>
  <dcterms:modified xsi:type="dcterms:W3CDTF">2026-09-25T06:17:51Z</dcterms:modified>
</cp:coreProperties>
</file>